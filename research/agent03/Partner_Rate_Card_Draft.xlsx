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Rate Card" sheetId="2" state="visible" r:id="rId4"/>
    <sheet name="Параметры" sheetId="3" state="visible" r:id="rId5"/>
    <sheet name="Статус заполнения" sheetId="4" state="visible" r:id="rId6"/>
    <sheet name="Этика и механика" sheetId="5" state="visible" r:id="rId7"/>
  </sheets>
  <definedNames>
    <definedName function="false" hidden="true" localSheetId="1" name="_xlnm._FilterDatabase" vbProcedure="false">'Rate Card'!$A$1:$P$40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<sst xmlns="http://schemas.openxmlformats.org/spreadsheetml/2006/main" count="385" uniqueCount="227">
  <si>
    <t xml:space="preserve">LEGITIMUS · Partner Rate Card: ЧЕРНОВИК СТРУКТУРЫ для утверждения управляющим партнёром</t>
  </si>
  <si>
    <t xml:space="preserve">Тарифы НЕ заполнены намеренно: агент не придумывает цены. Все ЖЁЛТЫЕ ячейки заполняет и утверждает управляющий партнёр (синий шрифт = вводимые данные).</t>
  </si>
  <si>
    <t xml:space="preserve">Как заполнять: 1) лист «Параметры»: валюта, базовая скидка, часовые ставки, условия; 2) лист «Rate Card»: стандартная ставка (столбец H) и, при необходимости, индивидуальная партнёрская ставка (I). Расчётная партнёрская ставка (J) и скидка (K) считаются автоматически; 3) столбец «Утверждено» = Да/Нет.</t>
  </si>
  <si>
    <t xml:space="preserve">Пример формата: строка RC-01, стандартная ставка 0 (заменить реальной суммой), срок «[TO CONFIRM]», утверждено «Нет».</t>
  </si>
  <si>
    <t xml:space="preserve">Государственные пошлины, нотариальные расходы, переводы и апостили: перевыставляются по фактическим затратам (pass-through), в ставки не включаются, если не утверждено иное.</t>
  </si>
  <si>
    <t xml:space="preserve">Этика: реферальные вознаграждения, раздел гонорара и white-label требуют заключения о допустимости (лист «Этика и механика»). До этого Rate Card используется только для прямого договора с клиентом или с партнёрской скидкой.</t>
  </si>
  <si>
    <t xml:space="preserve">Услуги MyAccounting оказывает отдельное лицо; его ставки утверждаются по договору с MyAccounting [TO CONFIRM].</t>
  </si>
  <si>
    <t xml:space="preserve">Код</t>
  </si>
  <si>
    <t xml:space="preserve">Категория</t>
  </si>
  <si>
    <t xml:space="preserve">Услуга</t>
  </si>
  <si>
    <t xml:space="preserve">Что включено (scope)</t>
  </si>
  <si>
    <t xml:space="preserve">Не включено / pass-through</t>
  </si>
  <si>
    <t xml:space="preserve">Исполнитель</t>
  </si>
  <si>
    <t xml:space="preserve">Единица</t>
  </si>
  <si>
    <t xml:space="preserve">Стандартная ставка</t>
  </si>
  <si>
    <t xml:space="preserve">Партнёрская ставка (индивид.)</t>
  </si>
  <si>
    <t xml:space="preserve">Расчётная партнёрская ставка</t>
  </si>
  <si>
    <t xml:space="preserve">Скидка партнёру</t>
  </si>
  <si>
    <t xml:space="preserve">Ориентировочный срок</t>
  </si>
  <si>
    <t xml:space="preserve">Модели</t>
  </si>
  <si>
    <t xml:space="preserve">Флаг этики / подтверждения</t>
  </si>
  <si>
    <t xml:space="preserve">Утверждено</t>
  </si>
  <si>
    <t xml:space="preserve">Комментарий MP</t>
  </si>
  <si>
    <t xml:space="preserve">1. Регистрация компании</t>
  </si>
  <si>
    <t xml:space="preserve">RC-01</t>
  </si>
  <si>
    <t xml:space="preserve">Регистрация компании</t>
  </si>
  <si>
    <t xml:space="preserve">Регистрация SRL (учредители — физ. лица)</t>
  </si>
  <si>
    <t xml:space="preserve">Консультация по структуре, устав, документы, подача в ASP [TO CONFIRM процесс], получение документов о регистрации</t>
  </si>
  <si>
    <t xml:space="preserve">Госпошлины, нотариус, переводы, апостиль</t>
  </si>
  <si>
    <t xml:space="preserve">LEGITIMUS</t>
  </si>
  <si>
    <t xml:space="preserve">за компанию</t>
  </si>
  <si>
    <t xml:space="preserve">[TO CONFIRM]</t>
  </si>
  <si>
    <t xml:space="preserve">A,B</t>
  </si>
  <si>
    <t xml:space="preserve">Нет</t>
  </si>
  <si>
    <t xml:space="preserve">RC-02</t>
  </si>
  <si>
    <t xml:space="preserve">Регистрация SRL с иностранным юр. лицом-учредителем</t>
  </si>
  <si>
    <t xml:space="preserve">То же + проверка корпоративных документов иностранного учредителя и требований к легализации</t>
  </si>
  <si>
    <t xml:space="preserve">Легализация/апостиль, переводы</t>
  </si>
  <si>
    <t xml:space="preserve">RC-03</t>
  </si>
  <si>
    <t xml:space="preserve">Регистрация филиала / представительства иностранной компании</t>
  </si>
  <si>
    <t xml:space="preserve">Документы, положение о филиале, регистрация [TO CONFIRM]</t>
  </si>
  <si>
    <t xml:space="preserve">Госпошлины, переводы</t>
  </si>
  <si>
    <t xml:space="preserve">за подразделение</t>
  </si>
  <si>
    <t xml:space="preserve">A,B,C</t>
  </si>
  <si>
    <t xml:space="preserve">Подтвердить, что LEGITIMUS оказывает эту услугу</t>
  </si>
  <si>
    <t xml:space="preserve">RC-04</t>
  </si>
  <si>
    <t xml:space="preserve">Регистрация плательщика НДС и иная налоговая регистрация</t>
  </si>
  <si>
    <t xml:space="preserve">Подготовка и подача заявлений [TO CONFIRM]</t>
  </si>
  <si>
    <t xml:space="preserve">—</t>
  </si>
  <si>
    <t xml:space="preserve">MyAccounting / LEGITIMUS</t>
  </si>
  <si>
    <t xml:space="preserve">за регистрацию</t>
  </si>
  <si>
    <t xml:space="preserve">Разграничить исполнителя: LEGITIMUS или MyAccounting</t>
  </si>
  <si>
    <t xml:space="preserve">RC-05</t>
  </si>
  <si>
    <t xml:space="preserve">Содействие в открытии банковского счёта</t>
  </si>
  <si>
    <t xml:space="preserve">Подготовка пакета документов, сопровождение; результат не гарантируется</t>
  </si>
  <si>
    <t xml:space="preserve">Комиссии банка</t>
  </si>
  <si>
    <t xml:space="preserve">за счёт</t>
  </si>
  <si>
    <t xml:space="preserve">Не обещать открытие счёта</t>
  </si>
  <si>
    <t xml:space="preserve">2. Корпоративные изменения</t>
  </si>
  <si>
    <t xml:space="preserve">RC-06</t>
  </si>
  <si>
    <t xml:space="preserve">Корпоративные изменения</t>
  </si>
  <si>
    <t xml:space="preserve">Смена администратора (директора)</t>
  </si>
  <si>
    <t xml:space="preserve">Решения, документы, регистрация изменений</t>
  </si>
  <si>
    <t xml:space="preserve">Госпошлины, нотариус</t>
  </si>
  <si>
    <t xml:space="preserve">за изменение</t>
  </si>
  <si>
    <t xml:space="preserve">RC-07</t>
  </si>
  <si>
    <t xml:space="preserve">Передача долей / смена участников</t>
  </si>
  <si>
    <t xml:space="preserve">Договор, решения, регистрация</t>
  </si>
  <si>
    <t xml:space="preserve">за сделку</t>
  </si>
  <si>
    <t xml:space="preserve">RC-08</t>
  </si>
  <si>
    <t xml:space="preserve">Изменение устава / вида деятельности / адреса</t>
  </si>
  <si>
    <t xml:space="preserve">Документы и регистрация изменений</t>
  </si>
  <si>
    <t xml:space="preserve">Госпошлины</t>
  </si>
  <si>
    <t xml:space="preserve">RC-09</t>
  </si>
  <si>
    <t xml:space="preserve">Увеличение / уменьшение уставного капитала</t>
  </si>
  <si>
    <t xml:space="preserve">Документы, регистрация</t>
  </si>
  <si>
    <t xml:space="preserve">RC-10</t>
  </si>
  <si>
    <t xml:space="preserve">Обновление сведений о бенефициарах</t>
  </si>
  <si>
    <t xml:space="preserve">Подготовка и подача сведений [TO CONFIRM требования]</t>
  </si>
  <si>
    <t xml:space="preserve">за обновление</t>
  </si>
  <si>
    <t xml:space="preserve">RC-11</t>
  </si>
  <si>
    <t xml:space="preserve">Добровольная ликвидация</t>
  </si>
  <si>
    <t xml:space="preserve">Процедура «под ключ» [TO CONFIRM объём]</t>
  </si>
  <si>
    <t xml:space="preserve">Госпошлины, публикации</t>
  </si>
  <si>
    <t xml:space="preserve">за процедуру</t>
  </si>
  <si>
    <t xml:space="preserve">3. Юридический адрес</t>
  </si>
  <si>
    <t xml:space="preserve">RC-12</t>
  </si>
  <si>
    <t xml:space="preserve">Юридический адрес</t>
  </si>
  <si>
    <t xml:space="preserve">Предоставление юридического адреса</t>
  </si>
  <si>
    <t xml:space="preserve">Адрес для регистрации [TO CONFIRM правомерность и наличие помещений]</t>
  </si>
  <si>
    <t xml:space="preserve">в год</t>
  </si>
  <si>
    <t xml:space="preserve">Подтвердить, может ли LEGITIMUS законно предоставлять адрес</t>
  </si>
  <si>
    <t xml:space="preserve">RC-13</t>
  </si>
  <si>
    <t xml:space="preserve">Приём и пересылка корреспонденции</t>
  </si>
  <si>
    <t xml:space="preserve">Скан входящей почты, уведомления</t>
  </si>
  <si>
    <t xml:space="preserve">Курьерские расходы</t>
  </si>
  <si>
    <t xml:space="preserve">в месяц</t>
  </si>
  <si>
    <t xml:space="preserve">4. Корпоративное администрирование</t>
  </si>
  <si>
    <t xml:space="preserve">RC-14</t>
  </si>
  <si>
    <t xml:space="preserve">Корпоративное администрирование</t>
  </si>
  <si>
    <t xml:space="preserve">Годовой пакет корпоративного обслуживания</t>
  </si>
  <si>
    <t xml:space="preserve">Годовое собрание или решения участника, протоколы, ведение корпоративных документов</t>
  </si>
  <si>
    <t xml:space="preserve">RC-15</t>
  </si>
  <si>
    <t xml:space="preserve">Решения и протоколы по запросу</t>
  </si>
  <si>
    <t xml:space="preserve">Подготовка отдельных корпоративных документов</t>
  </si>
  <si>
    <t xml:space="preserve">за документ</t>
  </si>
  <si>
    <t xml:space="preserve">RC-16</t>
  </si>
  <si>
    <t xml:space="preserve">Корпоративный секретарь / контроль сроков</t>
  </si>
  <si>
    <t xml:space="preserve">Календарь корпоративных сроков и напоминания [TO CONFIRM]</t>
  </si>
  <si>
    <t xml:space="preserve">B,C</t>
  </si>
  <si>
    <t xml:space="preserve">5. Ежемесячное юридическое сопровождение</t>
  </si>
  <si>
    <t xml:space="preserve">RC-17</t>
  </si>
  <si>
    <t xml:space="preserve">Ежемесячное юридическое сопровождение</t>
  </si>
  <si>
    <t xml:space="preserve">Пакет Basic</t>
  </si>
  <si>
    <t xml:space="preserve">[N] часов в месяц: консультации, проверка документов</t>
  </si>
  <si>
    <t xml:space="preserve">Судебное представительство</t>
  </si>
  <si>
    <t xml:space="preserve">C</t>
  </si>
  <si>
    <t xml:space="preserve">Указать число часов</t>
  </si>
  <si>
    <t xml:space="preserve">RC-18</t>
  </si>
  <si>
    <t xml:space="preserve">Пакет Standard</t>
  </si>
  <si>
    <t xml:space="preserve">[N] часов в месяц + приоритетный срок ответа [TO AGREE SLA]</t>
  </si>
  <si>
    <t xml:space="preserve">RC-19</t>
  </si>
  <si>
    <t xml:space="preserve">Пакет Premium</t>
  </si>
  <si>
    <t xml:space="preserve">[N] часов в месяц + выделенный юрист</t>
  </si>
  <si>
    <t xml:space="preserve">RC-20</t>
  </si>
  <si>
    <t xml:space="preserve">Часы сверх пакета</t>
  </si>
  <si>
    <t xml:space="preserve">По часовой ставке (лист «Параметры»)</t>
  </si>
  <si>
    <t xml:space="preserve">час</t>
  </si>
  <si>
    <t xml:space="preserve">6. Бухгалтерское обслуживание (MyAccounting)</t>
  </si>
  <si>
    <t xml:space="preserve">RC-21</t>
  </si>
  <si>
    <t xml:space="preserve">Бухгалтерское обслуживание (MyAccounting)</t>
  </si>
  <si>
    <t xml:space="preserve">Бухгалтерский учёт: компания без операций</t>
  </si>
  <si>
    <t xml:space="preserve">Ведение учёта и отчётность [TO CONFIRM]</t>
  </si>
  <si>
    <t xml:space="preserve">MyAccounting</t>
  </si>
  <si>
    <t xml:space="preserve">Договор с MyAccounting; кто выставляет счёт</t>
  </si>
  <si>
    <t xml:space="preserve">RC-22</t>
  </si>
  <si>
    <t xml:space="preserve">Бухгалтерский учёт: до [N] операций в месяц</t>
  </si>
  <si>
    <t xml:space="preserve">Учёт, налоговая отчётность</t>
  </si>
  <si>
    <t xml:space="preserve">RC-23</t>
  </si>
  <si>
    <t xml:space="preserve">Расчёт зарплаты</t>
  </si>
  <si>
    <t xml:space="preserve">Расчёт зарплаты и отчётность по работникам</t>
  </si>
  <si>
    <t xml:space="preserve">за работника в месяц</t>
  </si>
  <si>
    <t xml:space="preserve">RC-24</t>
  </si>
  <si>
    <t xml:space="preserve">Годовая финансовая отчётность</t>
  </si>
  <si>
    <t xml:space="preserve">Подготовка и подача [TO CONFIRM]</t>
  </si>
  <si>
    <t xml:space="preserve">Аудит, если обязателен</t>
  </si>
  <si>
    <t xml:space="preserve">7. Дополнительные юридические услуги</t>
  </si>
  <si>
    <t xml:space="preserve">RC-25</t>
  </si>
  <si>
    <t xml:space="preserve">Дополнительные юридические услуги</t>
  </si>
  <si>
    <t xml:space="preserve">Правовое заключение (правоспособность, good standing)</t>
  </si>
  <si>
    <t xml:space="preserve">Заключение адвоката на английском [TO CONFIRM языки]</t>
  </si>
  <si>
    <t xml:space="preserve">за заключение</t>
  </si>
  <si>
    <t xml:space="preserve">RC-26</t>
  </si>
  <si>
    <t xml:space="preserve">Подготовка / проверка коммерческого договора</t>
  </si>
  <si>
    <t xml:space="preserve">Договор на английском, румынском или русском [TO CONFIRM]</t>
  </si>
  <si>
    <t xml:space="preserve">Переводы</t>
  </si>
  <si>
    <t xml:space="preserve">за договор / час</t>
  </si>
  <si>
    <t xml:space="preserve">RC-27</t>
  </si>
  <si>
    <t xml:space="preserve">Трудовые документы (пакет для работодателя)</t>
  </si>
  <si>
    <t xml:space="preserve">Трудовые договоры, внутренние положения</t>
  </si>
  <si>
    <t xml:space="preserve">пакет</t>
  </si>
  <si>
    <t xml:space="preserve">RC-28</t>
  </si>
  <si>
    <t xml:space="preserve">Разрешения на работу и проживание для иностранцев</t>
  </si>
  <si>
    <t xml:space="preserve">Сопровождение процедуры [TO CONFIRM, что LEGITIMUS оказывает]</t>
  </si>
  <si>
    <t xml:space="preserve">за человека</t>
  </si>
  <si>
    <t xml:space="preserve">Не обещать результат</t>
  </si>
  <si>
    <t xml:space="preserve">RC-29</t>
  </si>
  <si>
    <t xml:space="preserve">Защита данных: аудит соответствия Закону 195/2024</t>
  </si>
  <si>
    <t xml:space="preserve">Аудит, политики, реестры [TO CONFIRM объём]</t>
  </si>
  <si>
    <t xml:space="preserve">проект</t>
  </si>
  <si>
    <t xml:space="preserve">RC-30</t>
  </si>
  <si>
    <t xml:space="preserve">Юридическая проверка (due diligence)</t>
  </si>
  <si>
    <t xml:space="preserve">Проверка компании или актива</t>
  </si>
  <si>
    <t xml:space="preserve">проект / час</t>
  </si>
  <si>
    <t xml:space="preserve">RC-31</t>
  </si>
  <si>
    <t xml:space="preserve">Сопровождение сделки M&amp;A / инвестиции</t>
  </si>
  <si>
    <t xml:space="preserve">Структура, документы, закрытие [TO CONFIRM опыт и объём]</t>
  </si>
  <si>
    <t xml:space="preserve">RC-32</t>
  </si>
  <si>
    <t xml:space="preserve">Лицензирование и регуляторные вопросы</t>
  </si>
  <si>
    <t xml:space="preserve">По отраслям [TO CONFIRM]</t>
  </si>
  <si>
    <t xml:space="preserve">Параметр</t>
  </si>
  <si>
    <t xml:space="preserve">Значение</t>
  </si>
  <si>
    <t xml:space="preserve">Комментарий</t>
  </si>
  <si>
    <t xml:space="preserve">Валюта тарифов</t>
  </si>
  <si>
    <t xml:space="preserve">EUR</t>
  </si>
  <si>
    <t xml:space="preserve">[TO CONFIRM] EUR или MDL; при MDL указать курс и порядок пересчёта</t>
  </si>
  <si>
    <t xml:space="preserve">Базовая партнёрская скидка (доля)</t>
  </si>
  <si>
    <t xml:space="preserve">Например 0.10 = 10%. Применяется, если индивидуальная партнёрская ставка не задана</t>
  </si>
  <si>
    <t xml:space="preserve">Стандартная часовая ставка, старший юрист / партнёр</t>
  </si>
  <si>
    <t xml:space="preserve">Для работ сверх пакетов</t>
  </si>
  <si>
    <t xml:space="preserve">Стандартная часовая ставка, юрист</t>
  </si>
  <si>
    <t xml:space="preserve">Партнёрская часовая ставка, юрист</t>
  </si>
  <si>
    <t xml:space="preserve">НДС и налоги на гонорар</t>
  </si>
  <si>
    <t xml:space="preserve">[TO CONFIRM] режим налогообложения гонорара адвоката</t>
  </si>
  <si>
    <t xml:space="preserve">Условия оплаты</t>
  </si>
  <si>
    <t xml:space="preserve">Например: предоплата за регистрацию, ежемесячно за пакеты</t>
  </si>
  <si>
    <t xml:space="preserve">Срок действия Rate Card</t>
  </si>
  <si>
    <t xml:space="preserve">Дата пересмотра</t>
  </si>
  <si>
    <t xml:space="preserve">Минимальный ежемесячный пакет (Model C)</t>
  </si>
  <si>
    <t xml:space="preserve">Порог объёма для дополнительной скидки (заявок в год)</t>
  </si>
  <si>
    <t xml:space="preserve">Строк</t>
  </si>
  <si>
    <t xml:space="preserve">Заполнена стандартная ставка</t>
  </si>
  <si>
    <t xml:space="preserve">Готовность</t>
  </si>
  <si>
    <t xml:space="preserve">Итого</t>
  </si>
  <si>
    <t xml:space="preserve">Механизм</t>
  </si>
  <si>
    <t xml:space="preserve">Описание</t>
  </si>
  <si>
    <t xml:space="preserve">Риск / вопрос</t>
  </si>
  <si>
    <t xml:space="preserve">Статус</t>
  </si>
  <si>
    <t xml:space="preserve">Решение MP</t>
  </si>
  <si>
    <t xml:space="preserve">Прямой договор с клиентом + партнёрская скидка</t>
  </si>
  <si>
    <t xml:space="preserve">Партнёр рекомендует, клиент заключает договор с LEGITIMUS; партнёр не получает вознаграждения</t>
  </si>
  <si>
    <t xml:space="preserve">Наименьший риск; нужна прозрачность для клиента</t>
  </si>
  <si>
    <t xml:space="preserve">Рекомендуемая базовая модель</t>
  </si>
  <si>
    <t xml:space="preserve">Субподряд (white-label)</t>
  </si>
  <si>
    <t xml:space="preserve">Партнёр заключает договор с клиентом и привлекает LEGITIMUS как исполнителя</t>
  </si>
  <si>
    <t xml:space="preserve">Адвокатская тайна, ответственность перед конечным клиентом, конфликт интересов, KYC конечного клиента; допустимость по Закону об адвокатуре и Кодексу этики</t>
  </si>
  <si>
    <t xml:space="preserve">ТРЕБУЕТ ЗАКЛЮЧЕНИЯ</t>
  </si>
  <si>
    <t xml:space="preserve">Реферальное вознаграждение партнёру</t>
  </si>
  <si>
    <t xml:space="preserve">LEGITIMUS платит партнёру за рекомендацию клиента (пример: Commitbiz публикует 20%)</t>
  </si>
  <si>
    <t xml:space="preserve">Раздел гонорара с неадвокатами и плата за привлечение клиентов могут быть ограничены; специальная норма в открытых источниках не найдена</t>
  </si>
  <si>
    <t xml:space="preserve">Получение вознаграждения от партнёра</t>
  </si>
  <si>
    <t xml:space="preserve">LEGITIMUS рекомендует клиента партнёру (например, в ОАЭ) и получает вознаграждение</t>
  </si>
  <si>
    <t xml:space="preserve">Конфликт интересов и обязанность раскрыть клиенту; допустимость по Кодексу этики</t>
  </si>
  <si>
    <t xml:space="preserve">Связка с MyAccounting</t>
  </si>
  <si>
    <t xml:space="preserve">Совместное предложение юридических и бухгалтерских услуг</t>
  </si>
  <si>
    <t xml:space="preserve">Раздельные договоры и ответственность; раскрытие связи клиенту; обмен данными (Закон 195/2024)</t>
  </si>
  <si>
    <t xml:space="preserve">Источник по общим нормам о гонораре: https://crjm.org/wp-content/uploads/2002/12/Codul-deontologic-avocati.pdf (Кодекс этики адвоката РМ). Специальная норма о разделе гонорара не найдена: нужна проверка полного текста или запрос в Союз адвокатов.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</si>
</sst>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3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3.7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</row>
    <row r="6" customFormat="false" ht="33.75" hidden="false" customHeight="true" outlineLevel="0" collapsed="false">
      <c r="A6" s="2" t="s">
        <v>5</v>
      </c>
      <c r="B6" s="2"/>
      <c r="C6" s="2"/>
      <c r="D6" s="2"/>
      <c r="E6" s="2"/>
      <c r="F6" s="2"/>
      <c r="G6" s="2"/>
      <c r="H6" s="2"/>
    </row>
    <row r="7" customFormat="false" ht="33.75" hidden="false" customHeight="true" outlineLevel="0" collapsed="false">
      <c r="A7" s="2" t="s">
        <v>6</v>
      </c>
      <c r="B7" s="2"/>
      <c r="C7" s="2"/>
      <c r="D7" s="2"/>
      <c r="E7" s="2"/>
      <c r="F7" s="2"/>
      <c r="G7" s="2"/>
      <c r="H7" s="2"/>
    </row>
  </sheetData>
  <mergeCells count="7">
    <mergeCell ref="A1:H1"/>
    <mergeCell ref="A2:H2"/>
    <mergeCell ref="A3:H3"/>
    <mergeCell ref="A4:H4"/>
    <mergeCell ref="A5:H5"/>
    <mergeCell ref="A6:H6"/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45"/>
    <col collapsed="false" customWidth="true" hidden="false" outlineLevel="0" max="5" min="5" style="0" width="3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4" min="14" style="0" width="35"/>
    <col collapsed="false" customWidth="true" hidden="false" outlineLevel="0" max="15" min="15" style="0" width="10"/>
    <col collapsed="false" customWidth="true" hidden="false" outlineLevel="0" max="16" min="16" style="0" width="30"/>
  </cols>
  <sheetData>
    <row r="1" customFormat="false" ht="43.5" hidden="false" customHeight="tru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</row>
    <row r="2" customFormat="false" ht="15" hidden="false" customHeight="false" outlineLevel="0" collapsed="false">
      <c r="A2" s="4" t="s">
        <v>23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35.05" hidden="false" customHeight="false" outlineLevel="0" collapsed="false">
      <c r="A3" s="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7" t="n">
        <v>0</v>
      </c>
      <c r="I3" s="7"/>
      <c r="J3" s="8" t="n">
        <f aca="false">IF(H3="","",IF(I3&lt;&gt;"",I3,H3*(1-Параметры!$B$3)))</f>
        <v>0</v>
      </c>
      <c r="K3" s="9" t="str">
        <f aca="false">IF(OR(H3="",H3=0),"",1-J3/H3)</f>
        <v/>
      </c>
      <c r="L3" s="10" t="s">
        <v>31</v>
      </c>
      <c r="M3" s="6" t="s">
        <v>32</v>
      </c>
      <c r="N3" s="6"/>
      <c r="O3" s="10" t="s">
        <v>33</v>
      </c>
      <c r="P3" s="10"/>
    </row>
    <row r="4" customFormat="false" ht="35.05" hidden="false" customHeight="false" outlineLevel="0" collapsed="false">
      <c r="A4" s="6" t="s">
        <v>34</v>
      </c>
      <c r="B4" s="6" t="s">
        <v>25</v>
      </c>
      <c r="C4" s="6" t="s">
        <v>35</v>
      </c>
      <c r="D4" s="6" t="s">
        <v>36</v>
      </c>
      <c r="E4" s="6" t="s">
        <v>37</v>
      </c>
      <c r="F4" s="6" t="s">
        <v>29</v>
      </c>
      <c r="G4" s="6" t="s">
        <v>30</v>
      </c>
      <c r="H4" s="7"/>
      <c r="I4" s="7"/>
      <c r="J4" s="8" t="str">
        <f aca="false">IF(H4="","",IF(I4&lt;&gt;"",I4,H4*(1-Параметры!$B$3)))</f>
        <v/>
      </c>
      <c r="K4" s="9" t="str">
        <f aca="false">IF(OR(H4="",H4=0),"",1-J4/H4)</f>
        <v/>
      </c>
      <c r="L4" s="10" t="s">
        <v>31</v>
      </c>
      <c r="M4" s="6" t="s">
        <v>32</v>
      </c>
      <c r="N4" s="6"/>
      <c r="O4" s="10"/>
      <c r="P4" s="10"/>
    </row>
    <row r="5" customFormat="false" ht="35.05" hidden="false" customHeight="false" outlineLevel="0" collapsed="false">
      <c r="A5" s="6" t="s">
        <v>38</v>
      </c>
      <c r="B5" s="6" t="s">
        <v>25</v>
      </c>
      <c r="C5" s="6" t="s">
        <v>39</v>
      </c>
      <c r="D5" s="6" t="s">
        <v>40</v>
      </c>
      <c r="E5" s="6" t="s">
        <v>41</v>
      </c>
      <c r="F5" s="6" t="s">
        <v>29</v>
      </c>
      <c r="G5" s="6" t="s">
        <v>42</v>
      </c>
      <c r="H5" s="7"/>
      <c r="I5" s="7"/>
      <c r="J5" s="8" t="str">
        <f aca="false">IF(H5="","",IF(I5&lt;&gt;"",I5,H5*(1-Параметры!$B$3)))</f>
        <v/>
      </c>
      <c r="K5" s="9" t="str">
        <f aca="false">IF(OR(H5="",H5=0),"",1-J5/H5)</f>
        <v/>
      </c>
      <c r="L5" s="10" t="s">
        <v>31</v>
      </c>
      <c r="M5" s="6" t="s">
        <v>43</v>
      </c>
      <c r="N5" s="6" t="s">
        <v>44</v>
      </c>
      <c r="O5" s="10"/>
      <c r="P5" s="10"/>
    </row>
    <row r="6" customFormat="false" ht="23.85" hidden="false" customHeight="false" outlineLevel="0" collapsed="false">
      <c r="A6" s="6" t="s">
        <v>45</v>
      </c>
      <c r="B6" s="6" t="s">
        <v>25</v>
      </c>
      <c r="C6" s="6" t="s">
        <v>46</v>
      </c>
      <c r="D6" s="6" t="s">
        <v>47</v>
      </c>
      <c r="E6" s="6" t="s">
        <v>48</v>
      </c>
      <c r="F6" s="6" t="s">
        <v>49</v>
      </c>
      <c r="G6" s="6" t="s">
        <v>50</v>
      </c>
      <c r="H6" s="7"/>
      <c r="I6" s="7"/>
      <c r="J6" s="8" t="str">
        <f aca="false">IF(H6="","",IF(I6&lt;&gt;"",I6,H6*(1-Параметры!$B$3)))</f>
        <v/>
      </c>
      <c r="K6" s="9" t="str">
        <f aca="false">IF(OR(H6="",H6=0),"",1-J6/H6)</f>
        <v/>
      </c>
      <c r="L6" s="10" t="s">
        <v>31</v>
      </c>
      <c r="M6" s="6" t="s">
        <v>32</v>
      </c>
      <c r="N6" s="6" t="s">
        <v>51</v>
      </c>
      <c r="O6" s="10"/>
      <c r="P6" s="10"/>
    </row>
    <row r="7" customFormat="false" ht="23.85" hidden="false" customHeight="false" outlineLevel="0" collapsed="false">
      <c r="A7" s="6" t="s">
        <v>52</v>
      </c>
      <c r="B7" s="6" t="s">
        <v>25</v>
      </c>
      <c r="C7" s="6" t="s">
        <v>53</v>
      </c>
      <c r="D7" s="6" t="s">
        <v>54</v>
      </c>
      <c r="E7" s="6" t="s">
        <v>55</v>
      </c>
      <c r="F7" s="6" t="s">
        <v>29</v>
      </c>
      <c r="G7" s="6" t="s">
        <v>56</v>
      </c>
      <c r="H7" s="7"/>
      <c r="I7" s="7"/>
      <c r="J7" s="8" t="str">
        <f aca="false">IF(H7="","",IF(I7&lt;&gt;"",I7,H7*(1-Параметры!$B$3)))</f>
        <v/>
      </c>
      <c r="K7" s="9" t="str">
        <f aca="false">IF(OR(H7="",H7=0),"",1-J7/H7)</f>
        <v/>
      </c>
      <c r="L7" s="10" t="s">
        <v>31</v>
      </c>
      <c r="M7" s="6" t="s">
        <v>32</v>
      </c>
      <c r="N7" s="6" t="s">
        <v>57</v>
      </c>
      <c r="O7" s="10"/>
      <c r="P7" s="10"/>
    </row>
    <row r="8" customFormat="false" ht="15" hidden="false" customHeight="false" outlineLevel="0" collapsed="false">
      <c r="A8" s="4" t="s">
        <v>58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customFormat="false" ht="23.85" hidden="false" customHeight="false" outlineLevel="0" collapsed="false">
      <c r="A9" s="6" t="s">
        <v>59</v>
      </c>
      <c r="B9" s="6" t="s">
        <v>60</v>
      </c>
      <c r="C9" s="6" t="s">
        <v>61</v>
      </c>
      <c r="D9" s="6" t="s">
        <v>62</v>
      </c>
      <c r="E9" s="6" t="s">
        <v>63</v>
      </c>
      <c r="F9" s="6" t="s">
        <v>29</v>
      </c>
      <c r="G9" s="6" t="s">
        <v>64</v>
      </c>
      <c r="H9" s="7"/>
      <c r="I9" s="7"/>
      <c r="J9" s="8" t="str">
        <f aca="false">IF(H9="","",IF(I9&lt;&gt;"",I9,H9*(1-Параметры!$B$3)))</f>
        <v/>
      </c>
      <c r="K9" s="9" t="str">
        <f aca="false">IF(OR(H9="",H9=0),"",1-J9/H9)</f>
        <v/>
      </c>
      <c r="L9" s="10" t="s">
        <v>31</v>
      </c>
      <c r="M9" s="6" t="s">
        <v>43</v>
      </c>
      <c r="N9" s="6"/>
      <c r="O9" s="10"/>
      <c r="P9" s="10"/>
    </row>
    <row r="10" customFormat="false" ht="23.85" hidden="false" customHeight="false" outlineLevel="0" collapsed="false">
      <c r="A10" s="6" t="s">
        <v>65</v>
      </c>
      <c r="B10" s="6" t="s">
        <v>60</v>
      </c>
      <c r="C10" s="6" t="s">
        <v>66</v>
      </c>
      <c r="D10" s="6" t="s">
        <v>67</v>
      </c>
      <c r="E10" s="6" t="s">
        <v>63</v>
      </c>
      <c r="F10" s="6" t="s">
        <v>29</v>
      </c>
      <c r="G10" s="6" t="s">
        <v>68</v>
      </c>
      <c r="H10" s="7"/>
      <c r="I10" s="7"/>
      <c r="J10" s="8" t="str">
        <f aca="false">IF(H10="","",IF(I10&lt;&gt;"",I10,H10*(1-Параметры!$B$3)))</f>
        <v/>
      </c>
      <c r="K10" s="9" t="str">
        <f aca="false">IF(OR(H10="",H10=0),"",1-J10/H10)</f>
        <v/>
      </c>
      <c r="L10" s="10" t="s">
        <v>31</v>
      </c>
      <c r="M10" s="6" t="s">
        <v>43</v>
      </c>
      <c r="N10" s="6"/>
      <c r="O10" s="10"/>
      <c r="P10" s="10"/>
    </row>
    <row r="11" customFormat="false" ht="23.85" hidden="false" customHeight="false" outlineLevel="0" collapsed="false">
      <c r="A11" s="6" t="s">
        <v>69</v>
      </c>
      <c r="B11" s="6" t="s">
        <v>60</v>
      </c>
      <c r="C11" s="6" t="s">
        <v>70</v>
      </c>
      <c r="D11" s="6" t="s">
        <v>71</v>
      </c>
      <c r="E11" s="6" t="s">
        <v>72</v>
      </c>
      <c r="F11" s="6" t="s">
        <v>29</v>
      </c>
      <c r="G11" s="6" t="s">
        <v>64</v>
      </c>
      <c r="H11" s="7"/>
      <c r="I11" s="7"/>
      <c r="J11" s="8" t="str">
        <f aca="false">IF(H11="","",IF(I11&lt;&gt;"",I11,H11*(1-Параметры!$B$3)))</f>
        <v/>
      </c>
      <c r="K11" s="9" t="str">
        <f aca="false">IF(OR(H11="",H11=0),"",1-J11/H11)</f>
        <v/>
      </c>
      <c r="L11" s="10" t="s">
        <v>31</v>
      </c>
      <c r="M11" s="6" t="s">
        <v>43</v>
      </c>
      <c r="N11" s="6"/>
      <c r="O11" s="10"/>
      <c r="P11" s="10"/>
    </row>
    <row r="12" customFormat="false" ht="23.85" hidden="false" customHeight="false" outlineLevel="0" collapsed="false">
      <c r="A12" s="6" t="s">
        <v>73</v>
      </c>
      <c r="B12" s="6" t="s">
        <v>60</v>
      </c>
      <c r="C12" s="6" t="s">
        <v>74</v>
      </c>
      <c r="D12" s="6" t="s">
        <v>75</v>
      </c>
      <c r="E12" s="6" t="s">
        <v>72</v>
      </c>
      <c r="F12" s="6" t="s">
        <v>29</v>
      </c>
      <c r="G12" s="6" t="s">
        <v>64</v>
      </c>
      <c r="H12" s="7"/>
      <c r="I12" s="7"/>
      <c r="J12" s="8" t="str">
        <f aca="false">IF(H12="","",IF(I12&lt;&gt;"",I12,H12*(1-Параметры!$B$3)))</f>
        <v/>
      </c>
      <c r="K12" s="9" t="str">
        <f aca="false">IF(OR(H12="",H12=0),"",1-J12/H12)</f>
        <v/>
      </c>
      <c r="L12" s="10" t="s">
        <v>31</v>
      </c>
      <c r="M12" s="6" t="s">
        <v>43</v>
      </c>
      <c r="N12" s="6"/>
      <c r="O12" s="10"/>
      <c r="P12" s="10"/>
    </row>
    <row r="13" customFormat="false" ht="23.85" hidden="false" customHeight="false" outlineLevel="0" collapsed="false">
      <c r="A13" s="6" t="s">
        <v>76</v>
      </c>
      <c r="B13" s="6" t="s">
        <v>60</v>
      </c>
      <c r="C13" s="6" t="s">
        <v>77</v>
      </c>
      <c r="D13" s="6" t="s">
        <v>78</v>
      </c>
      <c r="E13" s="6" t="s">
        <v>48</v>
      </c>
      <c r="F13" s="6" t="s">
        <v>29</v>
      </c>
      <c r="G13" s="6" t="s">
        <v>79</v>
      </c>
      <c r="H13" s="7"/>
      <c r="I13" s="7"/>
      <c r="J13" s="8" t="str">
        <f aca="false">IF(H13="","",IF(I13&lt;&gt;"",I13,H13*(1-Параметры!$B$3)))</f>
        <v/>
      </c>
      <c r="K13" s="9" t="str">
        <f aca="false">IF(OR(H13="",H13=0),"",1-J13/H13)</f>
        <v/>
      </c>
      <c r="L13" s="10" t="s">
        <v>31</v>
      </c>
      <c r="M13" s="6" t="s">
        <v>43</v>
      </c>
      <c r="N13" s="6"/>
      <c r="O13" s="10"/>
      <c r="P13" s="10"/>
    </row>
    <row r="14" customFormat="false" ht="23.85" hidden="false" customHeight="false" outlineLevel="0" collapsed="false">
      <c r="A14" s="6" t="s">
        <v>80</v>
      </c>
      <c r="B14" s="6" t="s">
        <v>60</v>
      </c>
      <c r="C14" s="6" t="s">
        <v>81</v>
      </c>
      <c r="D14" s="6" t="s">
        <v>82</v>
      </c>
      <c r="E14" s="6" t="s">
        <v>83</v>
      </c>
      <c r="F14" s="6" t="s">
        <v>29</v>
      </c>
      <c r="G14" s="6" t="s">
        <v>84</v>
      </c>
      <c r="H14" s="7"/>
      <c r="I14" s="7"/>
      <c r="J14" s="8" t="str">
        <f aca="false">IF(H14="","",IF(I14&lt;&gt;"",I14,H14*(1-Параметры!$B$3)))</f>
        <v/>
      </c>
      <c r="K14" s="9" t="str">
        <f aca="false">IF(OR(H14="",H14=0),"",1-J14/H14)</f>
        <v/>
      </c>
      <c r="L14" s="10" t="s">
        <v>31</v>
      </c>
      <c r="M14" s="6" t="s">
        <v>43</v>
      </c>
      <c r="N14" s="6"/>
      <c r="O14" s="10"/>
      <c r="P14" s="10"/>
    </row>
    <row r="15" customFormat="false" ht="15" hidden="false" customHeight="false" outlineLevel="0" collapsed="false">
      <c r="A15" s="4" t="s">
        <v>85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customFormat="false" ht="23.85" hidden="false" customHeight="false" outlineLevel="0" collapsed="false">
      <c r="A16" s="6" t="s">
        <v>86</v>
      </c>
      <c r="B16" s="6" t="s">
        <v>87</v>
      </c>
      <c r="C16" s="6" t="s">
        <v>88</v>
      </c>
      <c r="D16" s="6" t="s">
        <v>89</v>
      </c>
      <c r="E16" s="6" t="s">
        <v>48</v>
      </c>
      <c r="F16" s="6" t="s">
        <v>29</v>
      </c>
      <c r="G16" s="6" t="s">
        <v>90</v>
      </c>
      <c r="H16" s="7"/>
      <c r="I16" s="7"/>
      <c r="J16" s="8" t="str">
        <f aca="false">IF(H16="","",IF(I16&lt;&gt;"",I16,H16*(1-Параметры!$B$3)))</f>
        <v/>
      </c>
      <c r="K16" s="9" t="str">
        <f aca="false">IF(OR(H16="",H16=0),"",1-J16/H16)</f>
        <v/>
      </c>
      <c r="L16" s="10" t="s">
        <v>31</v>
      </c>
      <c r="M16" s="6" t="s">
        <v>32</v>
      </c>
      <c r="N16" s="6" t="s">
        <v>91</v>
      </c>
      <c r="O16" s="10"/>
      <c r="P16" s="10"/>
    </row>
    <row r="17" customFormat="false" ht="15" hidden="false" customHeight="false" outlineLevel="0" collapsed="false">
      <c r="A17" s="6" t="s">
        <v>92</v>
      </c>
      <c r="B17" s="6" t="s">
        <v>87</v>
      </c>
      <c r="C17" s="6" t="s">
        <v>93</v>
      </c>
      <c r="D17" s="6" t="s">
        <v>94</v>
      </c>
      <c r="E17" s="6" t="s">
        <v>95</v>
      </c>
      <c r="F17" s="6" t="s">
        <v>29</v>
      </c>
      <c r="G17" s="6" t="s">
        <v>96</v>
      </c>
      <c r="H17" s="7"/>
      <c r="I17" s="7"/>
      <c r="J17" s="8" t="str">
        <f aca="false">IF(H17="","",IF(I17&lt;&gt;"",I17,H17*(1-Параметры!$B$3)))</f>
        <v/>
      </c>
      <c r="K17" s="9" t="str">
        <f aca="false">IF(OR(H17="",H17=0),"",1-J17/H17)</f>
        <v/>
      </c>
      <c r="L17" s="10" t="s">
        <v>31</v>
      </c>
      <c r="M17" s="6" t="s">
        <v>32</v>
      </c>
      <c r="N17" s="6"/>
      <c r="O17" s="10"/>
      <c r="P17" s="10"/>
    </row>
    <row r="18" customFormat="false" ht="15" hidden="false" customHeight="false" outlineLevel="0" collapsed="false">
      <c r="A18" s="4" t="s">
        <v>97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customFormat="false" ht="23.85" hidden="false" customHeight="false" outlineLevel="0" collapsed="false">
      <c r="A19" s="6" t="s">
        <v>98</v>
      </c>
      <c r="B19" s="6" t="s">
        <v>99</v>
      </c>
      <c r="C19" s="6" t="s">
        <v>100</v>
      </c>
      <c r="D19" s="6" t="s">
        <v>101</v>
      </c>
      <c r="E19" s="6" t="s">
        <v>48</v>
      </c>
      <c r="F19" s="6" t="s">
        <v>29</v>
      </c>
      <c r="G19" s="6" t="s">
        <v>90</v>
      </c>
      <c r="H19" s="7"/>
      <c r="I19" s="7"/>
      <c r="J19" s="8" t="str">
        <f aca="false">IF(H19="","",IF(I19&lt;&gt;"",I19,H19*(1-Параметры!$B$3)))</f>
        <v/>
      </c>
      <c r="K19" s="9" t="str">
        <f aca="false">IF(OR(H19="",H19=0),"",1-J19/H19)</f>
        <v/>
      </c>
      <c r="L19" s="10" t="s">
        <v>31</v>
      </c>
      <c r="M19" s="6" t="s">
        <v>43</v>
      </c>
      <c r="N19" s="6"/>
      <c r="O19" s="10"/>
      <c r="P19" s="10"/>
    </row>
    <row r="20" customFormat="false" ht="23.85" hidden="false" customHeight="false" outlineLevel="0" collapsed="false">
      <c r="A20" s="6" t="s">
        <v>102</v>
      </c>
      <c r="B20" s="6" t="s">
        <v>99</v>
      </c>
      <c r="C20" s="6" t="s">
        <v>103</v>
      </c>
      <c r="D20" s="6" t="s">
        <v>104</v>
      </c>
      <c r="E20" s="6" t="s">
        <v>48</v>
      </c>
      <c r="F20" s="6" t="s">
        <v>29</v>
      </c>
      <c r="G20" s="6" t="s">
        <v>105</v>
      </c>
      <c r="H20" s="7"/>
      <c r="I20" s="7"/>
      <c r="J20" s="8" t="str">
        <f aca="false">IF(H20="","",IF(I20&lt;&gt;"",I20,H20*(1-Параметры!$B$3)))</f>
        <v/>
      </c>
      <c r="K20" s="9" t="str">
        <f aca="false">IF(OR(H20="",H20=0),"",1-J20/H20)</f>
        <v/>
      </c>
      <c r="L20" s="10" t="s">
        <v>31</v>
      </c>
      <c r="M20" s="6" t="s">
        <v>43</v>
      </c>
      <c r="N20" s="6"/>
      <c r="O20" s="10"/>
      <c r="P20" s="10"/>
    </row>
    <row r="21" customFormat="false" ht="23.85" hidden="false" customHeight="false" outlineLevel="0" collapsed="false">
      <c r="A21" s="6" t="s">
        <v>106</v>
      </c>
      <c r="B21" s="6" t="s">
        <v>99</v>
      </c>
      <c r="C21" s="6" t="s">
        <v>107</v>
      </c>
      <c r="D21" s="6" t="s">
        <v>108</v>
      </c>
      <c r="E21" s="6" t="s">
        <v>48</v>
      </c>
      <c r="F21" s="6" t="s">
        <v>29</v>
      </c>
      <c r="G21" s="6" t="s">
        <v>96</v>
      </c>
      <c r="H21" s="7"/>
      <c r="I21" s="7"/>
      <c r="J21" s="8" t="str">
        <f aca="false">IF(H21="","",IF(I21&lt;&gt;"",I21,H21*(1-Параметры!$B$3)))</f>
        <v/>
      </c>
      <c r="K21" s="9" t="str">
        <f aca="false">IF(OR(H21="",H21=0),"",1-J21/H21)</f>
        <v/>
      </c>
      <c r="L21" s="10" t="s">
        <v>31</v>
      </c>
      <c r="M21" s="6" t="s">
        <v>109</v>
      </c>
      <c r="N21" s="6"/>
      <c r="O21" s="10"/>
      <c r="P21" s="10"/>
    </row>
    <row r="22" customFormat="false" ht="15" hidden="false" customHeight="false" outlineLevel="0" collapsed="false">
      <c r="A22" s="4" t="s">
        <v>110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customFormat="false" ht="35.05" hidden="false" customHeight="false" outlineLevel="0" collapsed="false">
      <c r="A23" s="6" t="s">
        <v>111</v>
      </c>
      <c r="B23" s="6" t="s">
        <v>112</v>
      </c>
      <c r="C23" s="6" t="s">
        <v>113</v>
      </c>
      <c r="D23" s="6" t="s">
        <v>114</v>
      </c>
      <c r="E23" s="6" t="s">
        <v>115</v>
      </c>
      <c r="F23" s="6" t="s">
        <v>29</v>
      </c>
      <c r="G23" s="6" t="s">
        <v>96</v>
      </c>
      <c r="H23" s="7"/>
      <c r="I23" s="7"/>
      <c r="J23" s="8" t="str">
        <f aca="false">IF(H23="","",IF(I23&lt;&gt;"",I23,H23*(1-Параметры!$B$3)))</f>
        <v/>
      </c>
      <c r="K23" s="9" t="str">
        <f aca="false">IF(OR(H23="",H23=0),"",1-J23/H23)</f>
        <v/>
      </c>
      <c r="L23" s="10" t="s">
        <v>31</v>
      </c>
      <c r="M23" s="6" t="s">
        <v>116</v>
      </c>
      <c r="N23" s="6" t="s">
        <v>117</v>
      </c>
      <c r="O23" s="10"/>
      <c r="P23" s="10"/>
    </row>
    <row r="24" customFormat="false" ht="35.05" hidden="false" customHeight="false" outlineLevel="0" collapsed="false">
      <c r="A24" s="6" t="s">
        <v>118</v>
      </c>
      <c r="B24" s="6" t="s">
        <v>112</v>
      </c>
      <c r="C24" s="6" t="s">
        <v>119</v>
      </c>
      <c r="D24" s="6" t="s">
        <v>120</v>
      </c>
      <c r="E24" s="6" t="s">
        <v>115</v>
      </c>
      <c r="F24" s="6" t="s">
        <v>29</v>
      </c>
      <c r="G24" s="6" t="s">
        <v>96</v>
      </c>
      <c r="H24" s="7"/>
      <c r="I24" s="7"/>
      <c r="J24" s="8" t="str">
        <f aca="false">IF(H24="","",IF(I24&lt;&gt;"",I24,H24*(1-Параметры!$B$3)))</f>
        <v/>
      </c>
      <c r="K24" s="9" t="str">
        <f aca="false">IF(OR(H24="",H24=0),"",1-J24/H24)</f>
        <v/>
      </c>
      <c r="L24" s="10" t="s">
        <v>31</v>
      </c>
      <c r="M24" s="6" t="s">
        <v>116</v>
      </c>
      <c r="N24" s="6"/>
      <c r="O24" s="10"/>
      <c r="P24" s="10"/>
    </row>
    <row r="25" customFormat="false" ht="35.05" hidden="false" customHeight="false" outlineLevel="0" collapsed="false">
      <c r="A25" s="6" t="s">
        <v>121</v>
      </c>
      <c r="B25" s="6" t="s">
        <v>112</v>
      </c>
      <c r="C25" s="6" t="s">
        <v>122</v>
      </c>
      <c r="D25" s="6" t="s">
        <v>123</v>
      </c>
      <c r="E25" s="6" t="s">
        <v>48</v>
      </c>
      <c r="F25" s="6" t="s">
        <v>29</v>
      </c>
      <c r="G25" s="6" t="s">
        <v>96</v>
      </c>
      <c r="H25" s="7"/>
      <c r="I25" s="7"/>
      <c r="J25" s="8" t="str">
        <f aca="false">IF(H25="","",IF(I25&lt;&gt;"",I25,H25*(1-Параметры!$B$3)))</f>
        <v/>
      </c>
      <c r="K25" s="9" t="str">
        <f aca="false">IF(OR(H25="",H25=0),"",1-J25/H25)</f>
        <v/>
      </c>
      <c r="L25" s="10" t="s">
        <v>31</v>
      </c>
      <c r="M25" s="6" t="s">
        <v>116</v>
      </c>
      <c r="N25" s="6"/>
      <c r="O25" s="10"/>
      <c r="P25" s="10"/>
    </row>
    <row r="26" customFormat="false" ht="35.05" hidden="false" customHeight="false" outlineLevel="0" collapsed="false">
      <c r="A26" s="6" t="s">
        <v>124</v>
      </c>
      <c r="B26" s="6" t="s">
        <v>112</v>
      </c>
      <c r="C26" s="6" t="s">
        <v>125</v>
      </c>
      <c r="D26" s="6" t="s">
        <v>126</v>
      </c>
      <c r="E26" s="6" t="s">
        <v>48</v>
      </c>
      <c r="F26" s="6" t="s">
        <v>29</v>
      </c>
      <c r="G26" s="6" t="s">
        <v>127</v>
      </c>
      <c r="H26" s="7"/>
      <c r="I26" s="7"/>
      <c r="J26" s="8" t="str">
        <f aca="false">IF(H26="","",IF(I26&lt;&gt;"",I26,H26*(1-Параметры!$B$3)))</f>
        <v/>
      </c>
      <c r="K26" s="9" t="str">
        <f aca="false">IF(OR(H26="",H26=0),"",1-J26/H26)</f>
        <v/>
      </c>
      <c r="L26" s="10" t="s">
        <v>31</v>
      </c>
      <c r="M26" s="6" t="s">
        <v>43</v>
      </c>
      <c r="N26" s="6"/>
      <c r="O26" s="10"/>
      <c r="P26" s="10"/>
    </row>
    <row r="27" customFormat="false" ht="15" hidden="false" customHeight="false" outlineLevel="0" collapsed="false">
      <c r="A27" s="4" t="s">
        <v>128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customFormat="false" ht="35.05" hidden="false" customHeight="false" outlineLevel="0" collapsed="false">
      <c r="A28" s="6" t="s">
        <v>129</v>
      </c>
      <c r="B28" s="6" t="s">
        <v>130</v>
      </c>
      <c r="C28" s="6" t="s">
        <v>131</v>
      </c>
      <c r="D28" s="6" t="s">
        <v>132</v>
      </c>
      <c r="E28" s="6" t="s">
        <v>48</v>
      </c>
      <c r="F28" s="6" t="s">
        <v>133</v>
      </c>
      <c r="G28" s="6" t="s">
        <v>96</v>
      </c>
      <c r="H28" s="7"/>
      <c r="I28" s="7"/>
      <c r="J28" s="8" t="str">
        <f aca="false">IF(H28="","",IF(I28&lt;&gt;"",I28,H28*(1-Параметры!$B$3)))</f>
        <v/>
      </c>
      <c r="K28" s="9" t="str">
        <f aca="false">IF(OR(H28="",H28=0),"",1-J28/H28)</f>
        <v/>
      </c>
      <c r="L28" s="10" t="s">
        <v>31</v>
      </c>
      <c r="M28" s="6" t="s">
        <v>43</v>
      </c>
      <c r="N28" s="6" t="s">
        <v>134</v>
      </c>
      <c r="O28" s="10"/>
      <c r="P28" s="10"/>
    </row>
    <row r="29" customFormat="false" ht="35.05" hidden="false" customHeight="false" outlineLevel="0" collapsed="false">
      <c r="A29" s="6" t="s">
        <v>135</v>
      </c>
      <c r="B29" s="6" t="s">
        <v>130</v>
      </c>
      <c r="C29" s="6" t="s">
        <v>136</v>
      </c>
      <c r="D29" s="6" t="s">
        <v>137</v>
      </c>
      <c r="E29" s="6" t="s">
        <v>48</v>
      </c>
      <c r="F29" s="6" t="s">
        <v>133</v>
      </c>
      <c r="G29" s="6" t="s">
        <v>96</v>
      </c>
      <c r="H29" s="7"/>
      <c r="I29" s="7"/>
      <c r="J29" s="8" t="str">
        <f aca="false">IF(H29="","",IF(I29&lt;&gt;"",I29,H29*(1-Параметры!$B$3)))</f>
        <v/>
      </c>
      <c r="K29" s="9" t="str">
        <f aca="false">IF(OR(H29="",H29=0),"",1-J29/H29)</f>
        <v/>
      </c>
      <c r="L29" s="10" t="s">
        <v>31</v>
      </c>
      <c r="M29" s="6" t="s">
        <v>43</v>
      </c>
      <c r="N29" s="6"/>
      <c r="O29" s="10"/>
      <c r="P29" s="10"/>
    </row>
    <row r="30" customFormat="false" ht="35.05" hidden="false" customHeight="false" outlineLevel="0" collapsed="false">
      <c r="A30" s="6" t="s">
        <v>138</v>
      </c>
      <c r="B30" s="6" t="s">
        <v>130</v>
      </c>
      <c r="C30" s="6" t="s">
        <v>139</v>
      </c>
      <c r="D30" s="6" t="s">
        <v>140</v>
      </c>
      <c r="E30" s="6" t="s">
        <v>48</v>
      </c>
      <c r="F30" s="6" t="s">
        <v>133</v>
      </c>
      <c r="G30" s="6" t="s">
        <v>141</v>
      </c>
      <c r="H30" s="7"/>
      <c r="I30" s="7"/>
      <c r="J30" s="8" t="str">
        <f aca="false">IF(H30="","",IF(I30&lt;&gt;"",I30,H30*(1-Параметры!$B$3)))</f>
        <v/>
      </c>
      <c r="K30" s="9" t="str">
        <f aca="false">IF(OR(H30="",H30=0),"",1-J30/H30)</f>
        <v/>
      </c>
      <c r="L30" s="10" t="s">
        <v>31</v>
      </c>
      <c r="M30" s="6" t="s">
        <v>43</v>
      </c>
      <c r="N30" s="6"/>
      <c r="O30" s="10"/>
      <c r="P30" s="10"/>
    </row>
    <row r="31" customFormat="false" ht="35.05" hidden="false" customHeight="false" outlineLevel="0" collapsed="false">
      <c r="A31" s="6" t="s">
        <v>142</v>
      </c>
      <c r="B31" s="6" t="s">
        <v>130</v>
      </c>
      <c r="C31" s="6" t="s">
        <v>143</v>
      </c>
      <c r="D31" s="6" t="s">
        <v>144</v>
      </c>
      <c r="E31" s="6" t="s">
        <v>145</v>
      </c>
      <c r="F31" s="6" t="s">
        <v>133</v>
      </c>
      <c r="G31" s="6" t="s">
        <v>90</v>
      </c>
      <c r="H31" s="7"/>
      <c r="I31" s="7"/>
      <c r="J31" s="8" t="str">
        <f aca="false">IF(H31="","",IF(I31&lt;&gt;"",I31,H31*(1-Параметры!$B$3)))</f>
        <v/>
      </c>
      <c r="K31" s="9" t="str">
        <f aca="false">IF(OR(H31="",H31=0),"",1-J31/H31)</f>
        <v/>
      </c>
      <c r="L31" s="10" t="s">
        <v>31</v>
      </c>
      <c r="M31" s="6" t="s">
        <v>43</v>
      </c>
      <c r="N31" s="6"/>
      <c r="O31" s="10"/>
      <c r="P31" s="10"/>
    </row>
    <row r="32" customFormat="false" ht="15" hidden="false" customHeight="false" outlineLevel="0" collapsed="false">
      <c r="A32" s="4" t="s">
        <v>146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customFormat="false" ht="23.85" hidden="false" customHeight="false" outlineLevel="0" collapsed="false">
      <c r="A33" s="6" t="s">
        <v>147</v>
      </c>
      <c r="B33" s="6" t="s">
        <v>148</v>
      </c>
      <c r="C33" s="6" t="s">
        <v>149</v>
      </c>
      <c r="D33" s="6" t="s">
        <v>150</v>
      </c>
      <c r="E33" s="6" t="s">
        <v>48</v>
      </c>
      <c r="F33" s="6" t="s">
        <v>29</v>
      </c>
      <c r="G33" s="6" t="s">
        <v>151</v>
      </c>
      <c r="H33" s="7"/>
      <c r="I33" s="7"/>
      <c r="J33" s="8" t="str">
        <f aca="false">IF(H33="","",IF(I33&lt;&gt;"",I33,H33*(1-Параметры!$B$3)))</f>
        <v/>
      </c>
      <c r="K33" s="9" t="str">
        <f aca="false">IF(OR(H33="",H33=0),"",1-J33/H33)</f>
        <v/>
      </c>
      <c r="L33" s="10" t="s">
        <v>31</v>
      </c>
      <c r="M33" s="6" t="s">
        <v>109</v>
      </c>
      <c r="N33" s="6"/>
      <c r="O33" s="10"/>
      <c r="P33" s="10"/>
    </row>
    <row r="34" customFormat="false" ht="23.85" hidden="false" customHeight="false" outlineLevel="0" collapsed="false">
      <c r="A34" s="6" t="s">
        <v>152</v>
      </c>
      <c r="B34" s="6" t="s">
        <v>148</v>
      </c>
      <c r="C34" s="6" t="s">
        <v>153</v>
      </c>
      <c r="D34" s="6" t="s">
        <v>154</v>
      </c>
      <c r="E34" s="6" t="s">
        <v>155</v>
      </c>
      <c r="F34" s="6" t="s">
        <v>29</v>
      </c>
      <c r="G34" s="6" t="s">
        <v>156</v>
      </c>
      <c r="H34" s="7"/>
      <c r="I34" s="7"/>
      <c r="J34" s="8" t="str">
        <f aca="false">IF(H34="","",IF(I34&lt;&gt;"",I34,H34*(1-Параметры!$B$3)))</f>
        <v/>
      </c>
      <c r="K34" s="9" t="str">
        <f aca="false">IF(OR(H34="",H34=0),"",1-J34/H34)</f>
        <v/>
      </c>
      <c r="L34" s="10" t="s">
        <v>31</v>
      </c>
      <c r="M34" s="6" t="s">
        <v>43</v>
      </c>
      <c r="N34" s="6"/>
      <c r="O34" s="10"/>
      <c r="P34" s="10"/>
    </row>
    <row r="35" customFormat="false" ht="23.85" hidden="false" customHeight="false" outlineLevel="0" collapsed="false">
      <c r="A35" s="6" t="s">
        <v>157</v>
      </c>
      <c r="B35" s="6" t="s">
        <v>148</v>
      </c>
      <c r="C35" s="6" t="s">
        <v>158</v>
      </c>
      <c r="D35" s="6" t="s">
        <v>159</v>
      </c>
      <c r="E35" s="6" t="s">
        <v>48</v>
      </c>
      <c r="F35" s="6" t="s">
        <v>29</v>
      </c>
      <c r="G35" s="6" t="s">
        <v>160</v>
      </c>
      <c r="H35" s="7"/>
      <c r="I35" s="7"/>
      <c r="J35" s="8" t="str">
        <f aca="false">IF(H35="","",IF(I35&lt;&gt;"",I35,H35*(1-Параметры!$B$3)))</f>
        <v/>
      </c>
      <c r="K35" s="9" t="str">
        <f aca="false">IF(OR(H35="",H35=0),"",1-J35/H35)</f>
        <v/>
      </c>
      <c r="L35" s="10" t="s">
        <v>31</v>
      </c>
      <c r="M35" s="6" t="s">
        <v>43</v>
      </c>
      <c r="N35" s="6"/>
      <c r="O35" s="10"/>
      <c r="P35" s="10"/>
    </row>
    <row r="36" customFormat="false" ht="23.85" hidden="false" customHeight="false" outlineLevel="0" collapsed="false">
      <c r="A36" s="6" t="s">
        <v>161</v>
      </c>
      <c r="B36" s="6" t="s">
        <v>148</v>
      </c>
      <c r="C36" s="6" t="s">
        <v>162</v>
      </c>
      <c r="D36" s="6" t="s">
        <v>163</v>
      </c>
      <c r="E36" s="6" t="s">
        <v>72</v>
      </c>
      <c r="F36" s="6" t="s">
        <v>29</v>
      </c>
      <c r="G36" s="6" t="s">
        <v>164</v>
      </c>
      <c r="H36" s="7"/>
      <c r="I36" s="7"/>
      <c r="J36" s="8" t="str">
        <f aca="false">IF(H36="","",IF(I36&lt;&gt;"",I36,H36*(1-Параметры!$B$3)))</f>
        <v/>
      </c>
      <c r="K36" s="9" t="str">
        <f aca="false">IF(OR(H36="",H36=0),"",1-J36/H36)</f>
        <v/>
      </c>
      <c r="L36" s="10" t="s">
        <v>31</v>
      </c>
      <c r="M36" s="6" t="s">
        <v>43</v>
      </c>
      <c r="N36" s="6" t="s">
        <v>165</v>
      </c>
      <c r="O36" s="10"/>
      <c r="P36" s="10"/>
    </row>
    <row r="37" customFormat="false" ht="23.85" hidden="false" customHeight="false" outlineLevel="0" collapsed="false">
      <c r="A37" s="6" t="s">
        <v>166</v>
      </c>
      <c r="B37" s="6" t="s">
        <v>148</v>
      </c>
      <c r="C37" s="6" t="s">
        <v>167</v>
      </c>
      <c r="D37" s="6" t="s">
        <v>168</v>
      </c>
      <c r="E37" s="6" t="s">
        <v>48</v>
      </c>
      <c r="F37" s="6" t="s">
        <v>29</v>
      </c>
      <c r="G37" s="6" t="s">
        <v>169</v>
      </c>
      <c r="H37" s="7"/>
      <c r="I37" s="7"/>
      <c r="J37" s="8" t="str">
        <f aca="false">IF(H37="","",IF(I37&lt;&gt;"",I37,H37*(1-Параметры!$B$3)))</f>
        <v/>
      </c>
      <c r="K37" s="9" t="str">
        <f aca="false">IF(OR(H37="",H37=0),"",1-J37/H37)</f>
        <v/>
      </c>
      <c r="L37" s="10" t="s">
        <v>31</v>
      </c>
      <c r="M37" s="6" t="s">
        <v>109</v>
      </c>
      <c r="N37" s="6"/>
      <c r="O37" s="10"/>
      <c r="P37" s="10"/>
    </row>
    <row r="38" customFormat="false" ht="23.85" hidden="false" customHeight="false" outlineLevel="0" collapsed="false">
      <c r="A38" s="6" t="s">
        <v>170</v>
      </c>
      <c r="B38" s="6" t="s">
        <v>148</v>
      </c>
      <c r="C38" s="6" t="s">
        <v>171</v>
      </c>
      <c r="D38" s="6" t="s">
        <v>172</v>
      </c>
      <c r="E38" s="6" t="s">
        <v>48</v>
      </c>
      <c r="F38" s="6" t="s">
        <v>29</v>
      </c>
      <c r="G38" s="6" t="s">
        <v>173</v>
      </c>
      <c r="H38" s="7"/>
      <c r="I38" s="7"/>
      <c r="J38" s="8" t="str">
        <f aca="false">IF(H38="","",IF(I38&lt;&gt;"",I38,H38*(1-Параметры!$B$3)))</f>
        <v/>
      </c>
      <c r="K38" s="9" t="str">
        <f aca="false">IF(OR(H38="",H38=0),"",1-J38/H38)</f>
        <v/>
      </c>
      <c r="L38" s="10" t="s">
        <v>31</v>
      </c>
      <c r="M38" s="6" t="s">
        <v>116</v>
      </c>
      <c r="N38" s="6"/>
      <c r="O38" s="10"/>
      <c r="P38" s="10"/>
    </row>
    <row r="39" customFormat="false" ht="23.85" hidden="false" customHeight="false" outlineLevel="0" collapsed="false">
      <c r="A39" s="6" t="s">
        <v>174</v>
      </c>
      <c r="B39" s="6" t="s">
        <v>148</v>
      </c>
      <c r="C39" s="6" t="s">
        <v>175</v>
      </c>
      <c r="D39" s="6" t="s">
        <v>176</v>
      </c>
      <c r="E39" s="6" t="s">
        <v>48</v>
      </c>
      <c r="F39" s="6" t="s">
        <v>29</v>
      </c>
      <c r="G39" s="6" t="s">
        <v>173</v>
      </c>
      <c r="H39" s="7"/>
      <c r="I39" s="7"/>
      <c r="J39" s="8" t="str">
        <f aca="false">IF(H39="","",IF(I39&lt;&gt;"",I39,H39*(1-Параметры!$B$3)))</f>
        <v/>
      </c>
      <c r="K39" s="9" t="str">
        <f aca="false">IF(OR(H39="",H39=0),"",1-J39/H39)</f>
        <v/>
      </c>
      <c r="L39" s="10" t="s">
        <v>31</v>
      </c>
      <c r="M39" s="6" t="s">
        <v>116</v>
      </c>
      <c r="N39" s="6"/>
      <c r="O39" s="10"/>
      <c r="P39" s="10"/>
    </row>
    <row r="40" customFormat="false" ht="23.85" hidden="false" customHeight="false" outlineLevel="0" collapsed="false">
      <c r="A40" s="6" t="s">
        <v>177</v>
      </c>
      <c r="B40" s="6" t="s">
        <v>148</v>
      </c>
      <c r="C40" s="6" t="s">
        <v>178</v>
      </c>
      <c r="D40" s="6" t="s">
        <v>179</v>
      </c>
      <c r="E40" s="6" t="s">
        <v>72</v>
      </c>
      <c r="F40" s="6" t="s">
        <v>29</v>
      </c>
      <c r="G40" s="6" t="s">
        <v>169</v>
      </c>
      <c r="H40" s="7"/>
      <c r="I40" s="7"/>
      <c r="J40" s="8" t="str">
        <f aca="false">IF(H40="","",IF(I40&lt;&gt;"",I40,H40*(1-Параметры!$B$3)))</f>
        <v/>
      </c>
      <c r="K40" s="9" t="str">
        <f aca="false">IF(OR(H40="",H40=0),"",1-J40/H40)</f>
        <v/>
      </c>
      <c r="L40" s="10" t="s">
        <v>31</v>
      </c>
      <c r="M40" s="6" t="s">
        <v>43</v>
      </c>
      <c r="N40" s="6"/>
      <c r="O40" s="10"/>
      <c r="P40" s="10"/>
    </row>
  </sheetData>
  <autoFilter ref="A1:P40"/>
  <dataValidations count="1">
    <dataValidation allowBlank="true" errorStyle="stop" operator="between" showDropDown="false" showErrorMessage="false" showInputMessage="false" sqref="O3:O7 O9:O14 O16:O17 O19:O21 O23:O26 O28:O31 O33:O40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1" t="s">
        <v>180</v>
      </c>
      <c r="B1" s="11" t="s">
        <v>181</v>
      </c>
      <c r="C1" s="11" t="s">
        <v>182</v>
      </c>
    </row>
    <row r="2" customFormat="false" ht="15" hidden="false" customHeight="false" outlineLevel="0" collapsed="false">
      <c r="A2" s="12" t="s">
        <v>183</v>
      </c>
      <c r="B2" s="13" t="s">
        <v>184</v>
      </c>
      <c r="C2" s="6" t="s">
        <v>185</v>
      </c>
    </row>
    <row r="3" customFormat="false" ht="23.85" hidden="false" customHeight="false" outlineLevel="0" collapsed="false">
      <c r="A3" s="12" t="s">
        <v>186</v>
      </c>
      <c r="B3" s="14"/>
      <c r="C3" s="6" t="s">
        <v>187</v>
      </c>
    </row>
    <row r="4" customFormat="false" ht="15" hidden="false" customHeight="false" outlineLevel="0" collapsed="false">
      <c r="A4" s="12" t="s">
        <v>188</v>
      </c>
      <c r="B4" s="13"/>
      <c r="C4" s="6" t="s">
        <v>189</v>
      </c>
    </row>
    <row r="5" customFormat="false" ht="15" hidden="false" customHeight="false" outlineLevel="0" collapsed="false">
      <c r="A5" s="12" t="s">
        <v>190</v>
      </c>
      <c r="B5" s="13"/>
      <c r="C5" s="6"/>
    </row>
    <row r="6" customFormat="false" ht="15" hidden="false" customHeight="false" outlineLevel="0" collapsed="false">
      <c r="A6" s="12" t="s">
        <v>191</v>
      </c>
      <c r="B6" s="13"/>
      <c r="C6" s="6"/>
    </row>
    <row r="7" customFormat="false" ht="15" hidden="false" customHeight="false" outlineLevel="0" collapsed="false">
      <c r="A7" s="12" t="s">
        <v>192</v>
      </c>
      <c r="B7" s="13"/>
      <c r="C7" s="6" t="s">
        <v>193</v>
      </c>
    </row>
    <row r="8" customFormat="false" ht="15" hidden="false" customHeight="false" outlineLevel="0" collapsed="false">
      <c r="A8" s="12" t="s">
        <v>194</v>
      </c>
      <c r="B8" s="13"/>
      <c r="C8" s="6" t="s">
        <v>195</v>
      </c>
    </row>
    <row r="9" customFormat="false" ht="15" hidden="false" customHeight="false" outlineLevel="0" collapsed="false">
      <c r="A9" s="12" t="s">
        <v>196</v>
      </c>
      <c r="B9" s="13"/>
      <c r="C9" s="6" t="s">
        <v>197</v>
      </c>
    </row>
    <row r="10" customFormat="false" ht="15" hidden="false" customHeight="false" outlineLevel="0" collapsed="false">
      <c r="A10" s="12" t="s">
        <v>198</v>
      </c>
      <c r="B10" s="13"/>
      <c r="C10" s="6"/>
    </row>
    <row r="11" customFormat="false" ht="15" hidden="false" customHeight="false" outlineLevel="0" collapsed="false">
      <c r="A11" s="12" t="s">
        <v>199</v>
      </c>
      <c r="B11" s="13"/>
      <c r="C1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11" t="s">
        <v>8</v>
      </c>
      <c r="B1" s="11" t="s">
        <v>200</v>
      </c>
      <c r="C1" s="11" t="s">
        <v>201</v>
      </c>
      <c r="D1" s="11" t="s">
        <v>21</v>
      </c>
      <c r="E1" s="11" t="s">
        <v>202</v>
      </c>
    </row>
    <row r="2" customFormat="false" ht="15" hidden="false" customHeight="false" outlineLevel="0" collapsed="false">
      <c r="A2" s="12" t="s">
        <v>25</v>
      </c>
      <c r="B2" s="12" t="n">
        <f aca="false">COUNTIF('Rate Card'!$B$3:$B$40,A2)</f>
        <v>5</v>
      </c>
      <c r="C2" s="12" t="n">
        <f aca="false">COUNTIFS('Rate Card'!$B$3:$B$40,A2,'Rate Card'!$H$3:$H$40,"&gt;0")</f>
        <v>0</v>
      </c>
      <c r="D2" s="12" t="n">
        <f aca="false">COUNTIFS('Rate Card'!$B$3:$B$40,A2,'Rate Card'!$O$3:$O$40,"Да")</f>
        <v>0</v>
      </c>
      <c r="E2" s="15" t="n">
        <f aca="false">IF(B2=0,"",D2/B2)</f>
        <v>0</v>
      </c>
    </row>
    <row r="3" customFormat="false" ht="15" hidden="false" customHeight="false" outlineLevel="0" collapsed="false">
      <c r="A3" s="12" t="s">
        <v>60</v>
      </c>
      <c r="B3" s="12" t="n">
        <f aca="false">COUNTIF('Rate Card'!$B$3:$B$40,A3)</f>
        <v>6</v>
      </c>
      <c r="C3" s="12" t="n">
        <f aca="false">COUNTIFS('Rate Card'!$B$3:$B$40,A3,'Rate Card'!$H$3:$H$40,"&gt;0")</f>
        <v>0</v>
      </c>
      <c r="D3" s="12" t="n">
        <f aca="false">COUNTIFS('Rate Card'!$B$3:$B$40,A3,'Rate Card'!$O$3:$O$40,"Да")</f>
        <v>0</v>
      </c>
      <c r="E3" s="15" t="n">
        <f aca="false">IF(B3=0,"",D3/B3)</f>
        <v>0</v>
      </c>
    </row>
    <row r="4" customFormat="false" ht="15" hidden="false" customHeight="false" outlineLevel="0" collapsed="false">
      <c r="A4" s="12" t="s">
        <v>87</v>
      </c>
      <c r="B4" s="12" t="n">
        <f aca="false">COUNTIF('Rate Card'!$B$3:$B$40,A4)</f>
        <v>2</v>
      </c>
      <c r="C4" s="12" t="n">
        <f aca="false">COUNTIFS('Rate Card'!$B$3:$B$40,A4,'Rate Card'!$H$3:$H$40,"&gt;0")</f>
        <v>0</v>
      </c>
      <c r="D4" s="12" t="n">
        <f aca="false">COUNTIFS('Rate Card'!$B$3:$B$40,A4,'Rate Card'!$O$3:$O$40,"Да")</f>
        <v>0</v>
      </c>
      <c r="E4" s="15" t="n">
        <f aca="false">IF(B4=0,"",D4/B4)</f>
        <v>0</v>
      </c>
    </row>
    <row r="5" customFormat="false" ht="15" hidden="false" customHeight="false" outlineLevel="0" collapsed="false">
      <c r="A5" s="12" t="s">
        <v>99</v>
      </c>
      <c r="B5" s="12" t="n">
        <f aca="false">COUNTIF('Rate Card'!$B$3:$B$40,A5)</f>
        <v>3</v>
      </c>
      <c r="C5" s="12" t="n">
        <f aca="false">COUNTIFS('Rate Card'!$B$3:$B$40,A5,'Rate Card'!$H$3:$H$40,"&gt;0")</f>
        <v>0</v>
      </c>
      <c r="D5" s="12" t="n">
        <f aca="false">COUNTIFS('Rate Card'!$B$3:$B$40,A5,'Rate Card'!$O$3:$O$40,"Да")</f>
        <v>0</v>
      </c>
      <c r="E5" s="15" t="n">
        <f aca="false">IF(B5=0,"",D5/B5)</f>
        <v>0</v>
      </c>
    </row>
    <row r="6" customFormat="false" ht="15" hidden="false" customHeight="false" outlineLevel="0" collapsed="false">
      <c r="A6" s="12" t="s">
        <v>112</v>
      </c>
      <c r="B6" s="12" t="n">
        <f aca="false">COUNTIF('Rate Card'!$B$3:$B$40,A6)</f>
        <v>4</v>
      </c>
      <c r="C6" s="12" t="n">
        <f aca="false">COUNTIFS('Rate Card'!$B$3:$B$40,A6,'Rate Card'!$H$3:$H$40,"&gt;0")</f>
        <v>0</v>
      </c>
      <c r="D6" s="12" t="n">
        <f aca="false">COUNTIFS('Rate Card'!$B$3:$B$40,A6,'Rate Card'!$O$3:$O$40,"Да")</f>
        <v>0</v>
      </c>
      <c r="E6" s="15" t="n">
        <f aca="false">IF(B6=0,"",D6/B6)</f>
        <v>0</v>
      </c>
    </row>
    <row r="7" customFormat="false" ht="15" hidden="false" customHeight="false" outlineLevel="0" collapsed="false">
      <c r="A7" s="12" t="s">
        <v>130</v>
      </c>
      <c r="B7" s="12" t="n">
        <f aca="false">COUNTIF('Rate Card'!$B$3:$B$40,A7)</f>
        <v>4</v>
      </c>
      <c r="C7" s="12" t="n">
        <f aca="false">COUNTIFS('Rate Card'!$B$3:$B$40,A7,'Rate Card'!$H$3:$H$40,"&gt;0")</f>
        <v>0</v>
      </c>
      <c r="D7" s="12" t="n">
        <f aca="false">COUNTIFS('Rate Card'!$B$3:$B$40,A7,'Rate Card'!$O$3:$O$40,"Да")</f>
        <v>0</v>
      </c>
      <c r="E7" s="15" t="n">
        <f aca="false">IF(B7=0,"",D7/B7)</f>
        <v>0</v>
      </c>
    </row>
    <row r="8" customFormat="false" ht="15" hidden="false" customHeight="false" outlineLevel="0" collapsed="false">
      <c r="A8" s="12" t="s">
        <v>148</v>
      </c>
      <c r="B8" s="12" t="n">
        <f aca="false">COUNTIF('Rate Card'!$B$3:$B$40,A8)</f>
        <v>8</v>
      </c>
      <c r="C8" s="12" t="n">
        <f aca="false">COUNTIFS('Rate Card'!$B$3:$B$40,A8,'Rate Card'!$H$3:$H$40,"&gt;0")</f>
        <v>0</v>
      </c>
      <c r="D8" s="12" t="n">
        <f aca="false">COUNTIFS('Rate Card'!$B$3:$B$40,A8,'Rate Card'!$O$3:$O$40,"Да")</f>
        <v>0</v>
      </c>
      <c r="E8" s="15" t="n">
        <f aca="false">IF(B8=0,"",D8/B8)</f>
        <v>0</v>
      </c>
    </row>
    <row r="9" customFormat="false" ht="15" hidden="false" customHeight="false" outlineLevel="0" collapsed="false">
      <c r="A9" s="16" t="s">
        <v>203</v>
      </c>
      <c r="B9" s="16" t="n">
        <f aca="false">SUM(B2:B8)</f>
        <v>32</v>
      </c>
      <c r="C9" s="16" t="n">
        <f aca="false">SUM(C2:C8)</f>
        <v>0</v>
      </c>
      <c r="D9" s="16" t="n">
        <f aca="false">SUM(D2:D8)</f>
        <v>0</v>
      </c>
      <c r="E9" s="17" t="n">
        <f aca="false">IF(B9=0,"",D9/B9)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60"/>
    <col collapsed="false" customWidth="true" hidden="false" outlineLevel="0" max="4" min="4" style="0" width="2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1" t="s">
        <v>204</v>
      </c>
      <c r="B1" s="11" t="s">
        <v>205</v>
      </c>
      <c r="C1" s="11" t="s">
        <v>206</v>
      </c>
      <c r="D1" s="11" t="s">
        <v>207</v>
      </c>
      <c r="E1" s="11" t="s">
        <v>208</v>
      </c>
    </row>
    <row r="2" customFormat="false" ht="23.85" hidden="false" customHeight="false" outlineLevel="0" collapsed="false">
      <c r="A2" s="6" t="s">
        <v>209</v>
      </c>
      <c r="B2" s="6" t="s">
        <v>210</v>
      </c>
      <c r="C2" s="6" t="s">
        <v>211</v>
      </c>
      <c r="D2" s="6" t="s">
        <v>212</v>
      </c>
      <c r="E2" s="18"/>
    </row>
    <row r="3" customFormat="false" ht="35.05" hidden="false" customHeight="false" outlineLevel="0" collapsed="false">
      <c r="A3" s="6" t="s">
        <v>213</v>
      </c>
      <c r="B3" s="6" t="s">
        <v>214</v>
      </c>
      <c r="C3" s="6" t="s">
        <v>215</v>
      </c>
      <c r="D3" s="6" t="s">
        <v>216</v>
      </c>
      <c r="E3" s="18"/>
    </row>
    <row r="4" customFormat="false" ht="35.05" hidden="false" customHeight="false" outlineLevel="0" collapsed="false">
      <c r="A4" s="6" t="s">
        <v>217</v>
      </c>
      <c r="B4" s="6" t="s">
        <v>218</v>
      </c>
      <c r="C4" s="6" t="s">
        <v>219</v>
      </c>
      <c r="D4" s="6" t="s">
        <v>216</v>
      </c>
      <c r="E4" s="18"/>
    </row>
    <row r="5" customFormat="false" ht="23.85" hidden="false" customHeight="false" outlineLevel="0" collapsed="false">
      <c r="A5" s="6" t="s">
        <v>220</v>
      </c>
      <c r="B5" s="6" t="s">
        <v>221</v>
      </c>
      <c r="C5" s="6" t="s">
        <v>222</v>
      </c>
      <c r="D5" s="6" t="s">
        <v>216</v>
      </c>
      <c r="E5" s="18"/>
    </row>
    <row r="6" customFormat="false" ht="23.85" hidden="false" customHeight="false" outlineLevel="0" collapsed="false">
      <c r="A6" s="6" t="s">
        <v>223</v>
      </c>
      <c r="B6" s="6" t="s">
        <v>224</v>
      </c>
      <c r="C6" s="6" t="s">
        <v>225</v>
      </c>
      <c r="D6" s="6" t="s">
        <v>31</v>
      </c>
      <c r="E6" s="18"/>
    </row>
    <row r="8" customFormat="false" ht="15" hidden="false" customHeight="false" outlineLevel="0" collapsed="false">
      <c r="A8" s="12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2026-10-08T20:34:05Z</dcterms:created>
  <dc:creator>openpyxl</dc:creator>
  <dc:description/>
  <dc:language>en-US</dc:language>
  <cp:lastModifiedBy/>
  <dcterms:modified xsi:type="dcterms:W3CDTF">2026-10-08T20:34:05Z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