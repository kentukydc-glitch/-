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водка" sheetId="1" state="visible" r:id="rId3"/>
    <sheet name="Модели A-B-C" sheetId="2" state="visible" r:id="rId4"/>
    <sheet name="TOP-10 стратегия" sheetId="3" state="visible" r:id="rId5"/>
    <sheet name="Возражения и ответы" sheetId="4" state="visible" r:id="rId6"/>
    <sheet name="Outreach Briefs" sheetId="5" state="visible" r:id="rId7"/>
    <sheet name="Допущения" sheetId="6" state="visible" r:id="rId8"/>
    <sheet name="Решения MP" sheetId="7" state="visible" r:id="rId9"/>
  </sheets>
  <definedNames>
    <definedName function="false" hidden="true" localSheetId="2" name="_xlnm._FilterDatabase" vbProcedure="false">'TOP-10 стратегия'!$A$1:$N$11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<sst xmlns="http://schemas.openxmlformats.org/spreadsheetml/2006/main" count="503" uniqueCount="359">
  <si>
    <t xml:space="preserve">LEGITIMUS · TOP-10 Partnership Strategy (Агент 03: International Partnership Strategist)</t>
  </si>
  <si>
    <t xml:space="preserve">Основа: проверенные данные агента 02 (Verified Partners Database.xlsx, final.json), дата проверки 2026-10-08. Новое исследование не проводилось; поиск только для проверки существенных коммерческих предположений (лист «Допущения»).</t>
  </si>
  <si>
    <t xml:space="preserve">Уровни достоверности: High = официальный сайт или реестр; Medium = официальный домен или пресса; Low = сторонний источник. ASSUMPTION = допущение. [TO CONFIRM] = требует подтверждения LEGITIMUS.</t>
  </si>
  <si>
    <t xml:space="preserve">Письма не отправлялись, переговоры не велись. Листы «Outreach Briefs» предназначены для следующего агента (Outreach Agent) и используются только после утверждения решений на листе «Решения MP».</t>
  </si>
  <si>
    <t xml:space="preserve">Распределение моделей:</t>
  </si>
  <si>
    <t xml:space="preserve">Model A — New Jurisdiction Partner</t>
  </si>
  <si>
    <t xml:space="preserve">Model B — Local Execution Partner</t>
  </si>
  <si>
    <t xml:space="preserve">Model C — Long-Term Legal Desk</t>
  </si>
  <si>
    <t xml:space="preserve">Параметр</t>
  </si>
  <si>
    <t xml:space="preserve">Для кого</t>
  </si>
  <si>
    <t xml:space="preserve">Международные провайдеры, у которых Молдовы нет в опубликованном каталоге (по данным агента 02: «не найдено»).</t>
  </si>
  <si>
    <t xml:space="preserve">Провайдеры, которые уже продают услуги в Молдове.</t>
  </si>
  <si>
    <t xml:space="preserve">Международные юридические и консалтинговые фирмы, а также глобальные провайдеры корпоративных услуг (CSP), чьи клиенты (транснациональные компании, группы) нуждаются в постоянном юридическом сопровождении в Молдове.</t>
  </si>
  <si>
    <t xml:space="preserve">Предложение</t>
  </si>
  <si>
    <t xml:space="preserve">Добавить Молдову в каталог провайдера. LEGITIMUS выполняет юридическую работу на месте, а провайдер остаётся «лицом» перед клиентом.</t>
  </si>
  <si>
    <t xml:space="preserve">Дополнительный или альтернативный местный исполнитель: регистрация, корпоративные изменения, правовые заключения, текущее сопровождение.</t>
  </si>
  <si>
    <t xml:space="preserve">Постоянный юридический «стол» LEGITIMUS для клиентов партнёра в Молдове (корпоративное, договорное, трудовое и регуляторное право, защита данных) и бухгалтерия через MyAccounting.</t>
  </si>
  <si>
    <t xml:space="preserve">Выгоды партнёра</t>
  </si>
  <si>
    <t xml:space="preserve">• Новая юрисдикция без открытия офиса и найма персонала
• Ответ на запросы клиентов из соседних рынков (Румыния, Украина) и из диаспоры
• Сопровождение после регистрации (юридическое, корпоративное, бухгалтерское через MyAccounting) даёт повторяющийся доход провайдеру и клиенту
• Единый местный контакт для юридических вопросов, без поиска исполнителя под каждый запрос</t>
  </si>
  <si>
    <t xml:space="preserve">• Резервный исполнитель снижает зависимость от одного местного подрядчика
• Правовые заключения и представительство, которые требуют адвоката (в отличие от регистрационного агента)
• Услуги после регистрации увеличивают выручку провайдера на клиента
• Единые стандарты отчётности и сроков ответа (SLA [TO AGREE])</t>
  </si>
  <si>
    <t xml:space="preserve">• Предсказуемая местная поддержка для клиентов с операциями в Молдове
• Один договор на ежемесячное сопровождение вместо разовых поручений
• Покрытие изменений законодательства (например, Закон 195/2024 о защите данных с 23.08.2026)
• Совместная работа с бухгалтерией через MyAccounting (юрист + бухгалтер)</t>
  </si>
  <si>
    <t xml:space="preserve">Процесс передачи заявки</t>
  </si>
  <si>
    <t xml:space="preserve">1. Провайдер передаёт запрос клиента по стандартной форме (intake form)
2. LEGITIMUS проверяет конфликт интересов и проводит KYC/AML
3. Смета и перечень документов, срок ответа [TO CONFIRM]
4. Подписание договора: напрямую с клиентом или через провайдера, в зависимости от утверждённой модели
5. Выполнение и отчёт о статусе провайдеру
6. Передача в постоянное сопровождение (юр. договор с ежемесячной оплатой и/или MyAccounting)</t>
  </si>
  <si>
    <t xml:space="preserve">1. Пилот: 1–3 заявки по стандартной форме
2. Проверка конфликта интересов и KYC/AML
3. Фиксированная смета по Partner Rate Card
4. Выполнение и отчёт о статусе провайдеру в согласованном формате
5. По итогам пилота: рамочный договор (framework agreement)</t>
  </si>
  <si>
    <t xml:space="preserve">1. Рамочное соглашение о сотрудничестве
2. Онбординг клиента: KYC, конфликт интересов, назначение ответственного юриста
3. Ежемесячное сопровождение: пакет часов или фиксированная плата [TO CONFIRM]
4. Ежеквартальный отчёт партнёру (без раскрытия адвокатской тайны без согласия клиента)</t>
  </si>
  <si>
    <t xml:space="preserve">Распределение обязанностей</t>
  </si>
  <si>
    <t xml:space="preserve">Привлечение клиента, первичный KYC, коммуникация: Провайдер
Юридическая экспертиза, документы, регистрация в ASP, KYC по закону РМ: LEGITIMUS
Бухгалтерия и налоговая отчётность: MyAccounting [TO CONFIRM: юр. форма и договор]
Выставление счёта клиенту: [TO AGREE: напрямую или через провайдера]</t>
  </si>
  <si>
    <t xml:space="preserve">Владение клиентом и коммуникация: Провайдер (white-label) или совместно [TO AGREE]
Юридическое исполнение и ответственность за юридические документы: LEGITIMUS
Бухгалтерия (по желанию провайдера): MyAccounting
Счёт: LEGITIMUS → провайдер (субподряд) или LEGITIMUS → клиент [TO AGREE]</t>
  </si>
  <si>
    <t xml:space="preserve">Глобальные отношения с клиентом: Партнёр
Юридические консультации и представительство в Молдове: LEGITIMUS
Бухгалтерия, зарплата, налоги: MyAccounting
Координация: Ответственный партнёр LEGITIMUS [TO ASSIGN]</t>
  </si>
  <si>
    <t xml:space="preserve">Коммерческие вопросы для согласования</t>
  </si>
  <si>
    <t xml:space="preserve">• Модель оплаты: прямой договор с клиентом или субподряд (white-label)
• Можно ли платить провайдеру реферальное вознаграждение (проверить по этике адвокатов РМ) или вместо этого дать партнёрскую скидку
• Минимальный набор услуг для «запуска» Молдовы в каталоге провайдера
• Брендирование и упоминание LEGITIMUS в материалах провайдера
• Неисключительность и территория</t>
  </si>
  <si>
    <t xml:space="preserve">• Совместимы ли white-label и субподряд с правилами адвокатуры (адвокатская тайна, ответственность перед клиентом)
• Партнёрские цены и порог объёма
• SLA: сроки ответа и отчётности
• Страхование профессиональной ответственности (часто требуют крупные группы) [TO CONFIRM]
• Неисключительность; порядок перехода от текущего исполнителя</t>
  </si>
  <si>
    <t xml:space="preserve">• Формат: пакет часов или ежемесячная фиксированная плата
• Ставка за часы сверх пакета
• Согласие клиента на обмен информацией с партнёром
• Требования к поставщикам: страхование, политики, проверка поставщика
• Языки обслуживания [TO CONFIRM]</t>
  </si>
  <si>
    <t xml:space="preserve">Ранг (агент 02)</t>
  </si>
  <si>
    <t xml:space="preserve">Компания</t>
  </si>
  <si>
    <t xml:space="preserve">Приоритет</t>
  </si>
  <si>
    <t xml:space="preserve">Балл /100</t>
  </si>
  <si>
    <t xml:space="preserve">Модель</t>
  </si>
  <si>
    <t xml:space="preserve">1. Профиль компании</t>
  </si>
  <si>
    <t xml:space="preserve">2. Почему ей может быть интересна Молдова</t>
  </si>
  <si>
    <t xml:space="preserve">3. Модель и обоснование</t>
  </si>
  <si>
    <t xml:space="preserve">4. Какую проблему решает LEGITIMUS</t>
  </si>
  <si>
    <t xml:space="preserve">5. Услуги в первом предложении</t>
  </si>
  <si>
    <t xml:space="preserve">6. Адресат</t>
  </si>
  <si>
    <t xml:space="preserve">7. Главный аргумент для первого контакта</t>
  </si>
  <si>
    <t xml:space="preserve">8. Возражения и ответы</t>
  </si>
  <si>
    <t xml:space="preserve">9. Следующее действие</t>
  </si>
  <si>
    <t xml:space="preserve">Accace</t>
  </si>
  <si>
    <t xml:space="preserve">Приоритет 1</t>
  </si>
  <si>
    <t xml:space="preserve">B</t>
  </si>
  <si>
    <t xml:space="preserve">Словацкая группа: аутсорсинг корпоративных услуг, бухгалтерии, зарплаты и налогов с фокусом на Центральную и Восточную Европу. Сеть Accace Circle охватывает 60+ юрисдикций (Medium).</t>
  </si>
  <si>
    <t xml:space="preserve">Accace уже продаёт корпоративные и секретарские услуги в Молдове (своя страница на сайте), но офиса в Кишинёве не найдено. Значит, у неё есть местный исполнитель или потребность в нём (ASSUMPTION).</t>
  </si>
  <si>
    <t xml:space="preserve">Model B — Local Execution Partner. Провайдеры, которые уже продают услуги в Молдове.</t>
  </si>
  <si>
    <t xml:space="preserve">Юридическая часть молдавского предложения: корпоративные изменения, разрешения, трудовые вопросы, правовые заключения. Это то, что BPO-провайдер не всегда может сделать сам.</t>
  </si>
  <si>
    <t xml:space="preserve">Корпоративные изменения и секретарская поддержка; правовые заключения; трудовое право; разрешения на работу и проживание [TO CONFIRM]; защита данных по Закону 195/2024. Бухгалтерию НЕ предлагать: это ядро бизнеса Accace.</t>
  </si>
  <si>
    <t xml:space="preserve">Alžbeta Košinár, Business Development &amp; Community Lead, Accace Circle (Medium; circle.accace.com). Вторая линия: CEO Mihaela Pašek-Virlan (Medium).</t>
  </si>
  <si>
    <t xml:space="preserve">«Вы продаёте Молдову без собственного офиса. Мы можем стать юридическим участником Circle в Кишинёве, дополняя, а не заменяя вашего текущего провайдера».</t>
  </si>
  <si>
    <t xml:space="preserve">«У нас уже есть исполнитель в Молдове» → Предлагаем юридическую работу, которую BPO-партнёр обычно не делает (заключения, споры, трудовое право), и роль резервного исполнителя
«Circle объединяет BPO-фирмы, а не юристов» → Accace сама упоминает юридическую экспертизу в описании Circle; клиентам нужен местный юрист для корпоративных изменений
«Объём по Молдове небольшой» → Нет минимальных обязательств; пилот на 1–3 заявках</t>
  </si>
  <si>
    <t xml:space="preserve">Письменный запрос в Accace Circle: кто сейчас обслуживает Молдову и есть ли место для юридического партнёра. До этого сверить страницу по Молдове на сайте.</t>
  </si>
  <si>
    <t xml:space="preserve">Eurofast</t>
  </si>
  <si>
    <t xml:space="preserve">A</t>
  </si>
  <si>
    <t xml:space="preserve">Кипрская группа (бухгалтерия, налоги, юридические и корпоративные услуги) в Юго-Восточной Европе: 24 офиса в 20 странах, в том числе Бухарест и Киев (Medium). Расширяется, открывая новые офисы (Салоники, Пловдив, Ниш).</t>
  </si>
  <si>
    <t xml:space="preserve">Молдова находится между двумя рынками Eurofast (Румыния и Украина) и не найдена в её каталоге. Компания расширяется, а Молдова открыла переговоры о вступлении в ЕС (кластеры 1 и 6 в 2026 г.).</t>
  </si>
  <si>
    <t xml:space="preserve">Model A — New Jurisdiction Partner. Международные провайдеры, у которых Молдовы нет в опубликованном каталоге (по данным агента 02: «не найдено»).</t>
  </si>
  <si>
    <t xml:space="preserve">Даёт присутствие в Молдове без собственного офиса и проверку рынка до решения о расширении.</t>
  </si>
  <si>
    <t xml:space="preserve">Регистрация и корпоративное структурирование; постоянная юридическая поддержка; договоры; трудовое право. Бухгалтерию через MyAccounting предлагать ОСТОРОЖНО: это ядро бизнеса Eurofast; только по запросу.</t>
  </si>
  <si>
    <t xml:space="preserve">Antonis Gavrielides и Irena Damianou, Managing Directors (Medium). Канал: info@eurofast.eu (найден только в стороннем источнике, нужно сверить).</t>
  </si>
  <si>
    <t xml:space="preserve">«Вы работаете в Бухаресте и Киеве; Молдова между ними. Мы можем быть вашим корреспондентом в Кишинёве уже сейчас, без затрат на офис».</t>
  </si>
  <si>
    <t xml:space="preserve">«Мы предпочитаем собственные офисы» → Корреспондентская модель позволяет оценить спрос без затрат; при решении об открытии офиса возможна дальнейшая роль [TO DISCUSS]
«Наши юристы работают в штате» → Консультации по праву Молдовы и представительство в местных органах требуют местного юриста; мы дополняем штат, а не конкурируем
«Нам нужен бухгалтерский, а не юридический партнёр» → Возможна связка с MyAccounting [TO CONFIRM]</t>
  </si>
  <si>
    <t xml:space="preserve">Короткое вводное письмо MD с одностраничным описанием возможностей по Молдове и вопросом, поступают ли запросы по Молдове в офисы в Бухаресте и Киеве.</t>
  </si>
  <si>
    <t xml:space="preserve">BridgeWest (BridgeWest Legal Network)</t>
  </si>
  <si>
    <t xml:space="preserve">Сеть BridgeWest Legal Network: регистрация компаний в 70+ юрисдикциях через независимые юрфирмы-аффилиаты. На сайте есть страница «Partner Law Firms». Штаб-квартира неясна: Кипр или Мальта (Low/Medium).</t>
  </si>
  <si>
    <t xml:space="preserve">Уже продаёт регистрацию в Молдове, готовые компании и регистрацию НДС. Кто партнёр в Молдове, не установлено.</t>
  </si>
  <si>
    <t xml:space="preserve">Надёжный исполнитель в Молдове внутри сети, которая целиком построена на местных юрфирмах.</t>
  </si>
  <si>
    <t xml:space="preserve">Регистрация SRL и филиалов; регистрация НДС [TO CONFIRM]; корпоративные изменения; юридический адрес [TO CONFIRM]; MyAccounting для текущей отчётности после регистрации.</t>
  </si>
  <si>
    <t xml:space="preserve">Раздел «Join Our Network» на bridgewest.eu и office@bridgewest.eu. Co-founder Vlad Cuc (Low, только заголовок LinkedIn).</t>
  </si>
  <si>
    <t xml:space="preserve">«Ваша модель держится на местных юрфирмах; мы предлагаем стать (или дополнить) вашего партнёра в Молдове с постоянным сопровождением после регистрации».</t>
  </si>
  <si>
    <t xml:space="preserve">«Место аффилиата в Молдове уже занято» → Предлагаем роль второго исполнителя на время пиков нагрузки и для сопровождения после регистрации
«Ценовое давление» → Фиксированные партнёрские цены по Rate Card; разовая регистрация плюс ежемесячный пакет
«Проверка клиентов» → Наш KYC/AML строже: это защита для сети</t>
  </si>
  <si>
    <t xml:space="preserve">Перед контактом решить, подходит ли LEGITIMUS клиентская база с готовыми компаниями и офшорами (политика KYC). Затем заявка через «Join Our Network».</t>
  </si>
  <si>
    <t xml:space="preserve">Healy Consultants Group (part of Hawksford)</t>
  </si>
  <si>
    <t xml:space="preserve">Healy Consultants (Сингапур, Дубай) входит в группу Hawksford с 2023 г. Регистрация «под ключ» и последующие корпоративные услуги во многих странах; на сайте есть отзывы партнёрских юрфирм (Medium).</t>
  </si>
  <si>
    <t xml:space="preserve">Есть отдельные страницы по Молдове (регистрация, налоги). Собственного офиса нет, значит, работает через местного исполнителя (ASSUMPTION, подкреплено отзывами юрфирм).</t>
  </si>
  <si>
    <t xml:space="preserve">Предсказуемое местное исполнение по фиксированным ценам, которые Healy публикует клиентам.</t>
  </si>
  <si>
    <t xml:space="preserve">White-label регистрация; корпоративные изменения; правовые заключения; ежегодное корпоративное обслуживание; бухгалтерия через MyAccounting (Healy продаёт клиентам ежегодный пакет поддержки).</t>
  </si>
  <si>
    <t xml:space="preserve">healy@hawksford.com (Medium). Уровень группы: Michel van Leeuwen, Group CEO Hawksford (Medium, данные 2023 г., сверить).</t>
  </si>
  <si>
    <t xml:space="preserve">«Ваши клиенты платят фиксированную цену за Молдову; мы обеспечим исполнение по прозрачной партнёрской ставке и с отчётностью на английском».</t>
  </si>
  <si>
    <t xml:space="preserve">«Исполнитель уже есть» → Предлагаем резервную схему и пилот
«Фиксированные цены сжимают маржу» → Определяем партнёрскую ставку заранее; работаем пакетами, без почасовых сюрпризов
«Hawksford проверяет поставщиков» → Готовим пакет документов: лицензия, страхование [TO CONFIRM], политики AML и защиты данных</t>
  </si>
  <si>
    <t xml:space="preserve">Подготовить пакет документов для проверки поставщика; затем письмо на healy@hawksford.com с предложением пилота.</t>
  </si>
  <si>
    <t xml:space="preserve">Commitbiz (Commitbiz LLC)</t>
  </si>
  <si>
    <t xml:space="preserve">Commitbiz (Дубай): регистрация компаний в ОАЭ и странах Залива, бухгалтерия, PRO-услуги. Офисы в Лондоне, Неаполе, Бухаресте и Москве (Medium). Опубликовано двустороннее реферальное соглашение.</t>
  </si>
  <si>
    <t xml:space="preserve">Молдова не найдена в каталоге. Есть офис в Бухаресте, клиенты из Восточной Европы и СНГ, то есть есть спрос на соседние юрисдикции (ASSUMPTION).</t>
  </si>
  <si>
    <t xml:space="preserve">Обработка запросов клиентов о Молдове; обратный поток: молдавские предприниматели, которым нужна компания в ОАЭ.</t>
  </si>
  <si>
    <t xml:space="preserve">Регистрация в Молдове; юридический адрес [TO CONFIRM]; MyAccounting; договоры. Обратное направление: рекомендации в Commitbiz по ОАЭ.</t>
  </si>
  <si>
    <t xml:space="preserve">Manu Thomas V, Managing Director (Medium, пресс-релиз авг. 2025). Канал: info@commitbiz.com, /contact-us.</t>
  </si>
  <si>
    <t xml:space="preserve">«Двусторонние рекомендации: Молдова для ваших клиентов (в том числе через офис в Бухаресте), ОАЭ для наших».</t>
  </si>
  <si>
    <t xml:space="preserve">«Наш шаблон рекомендаций предусматривает 20%» → Сначала проверить допустимость по правилам адвокатуры РМ; альтернатива: партнёрская скидка клиенту
«Спрос на Молдову низкий» → Без обязательств; небольшая стоимость старта
«Проверка поставщика» → Взаимный KYC</t>
  </si>
  <si>
    <t xml:space="preserve">Получить решение по этике реферальных вознаграждений; проверить комплаенс-риск из-за офиса в Москве; затем письмо MD.</t>
  </si>
  <si>
    <t xml:space="preserve">The Sovereign Group</t>
  </si>
  <si>
    <t xml:space="preserve">Приоритет 2</t>
  </si>
  <si>
    <t xml:space="preserve">The Sovereign Group (Гибралтар, с 1987 г.): трасты, корпоративные и фидуциарные услуги для частных клиентов. Предлагает white-label услуги профессиональным фирмам; отдел развития бизнеса работает с юристами и бухгалтерами (Medium).</t>
  </si>
  <si>
    <t xml:space="preserve">Молдова и Центральная/Восточная Европа не найдены. ASSUMPTION: клиенты с бизнесом или активами в регионе периодически нуждаются в местном юристе.</t>
  </si>
  <si>
    <t xml:space="preserve">Местный юрист для клиентов с молдавским элементом без открытия офиса; при этом Sovereign сама работает с посредниками.</t>
  </si>
  <si>
    <t xml:space="preserve">Корпоративное структурирование; сделки и инвестиции; корпоративные изменения; правовые заключения; защита данных. Регистрацию как основной продукт не продвигать: клиентам нужно сопровождение.</t>
  </si>
  <si>
    <t xml:space="preserve">Sebastien Philipona, Head of BD Malta &amp; Cyprus, или Nicholas Cully, Group Sales Director (Medium). Канал: форма на sovereigngroup.com/contact-us/.</t>
  </si>
  <si>
    <t xml:space="preserve">«Вы работаете с профессиональными посредниками в обе стороны; мы предлагаем быть вашим проверенным юристом в Молдове».</t>
  </si>
  <si>
    <t xml:space="preserve">«Спроса на Молдову мало» → Разовые поручения без обязательств; карточка в базе корреспондентов
«Есть корреспонденты в CEE» → Консультации по праву Молдовы требуют местного адвоката; LEGITIMUS работает на месте
«Проверка поставщика» → Готовый пакет документов</t>
  </si>
  <si>
    <t xml:space="preserve">Короткое письмо через форму в отдел BD (Мальта/Кипр) с описанием возможностей на одну страницу; просьба внести в базу корреспондентов.</t>
  </si>
  <si>
    <t xml:space="preserve">TMF Group</t>
  </si>
  <si>
    <t xml:space="preserve">C</t>
  </si>
  <si>
    <t xml:space="preserve">TMF Group (Амстердам): глобальный провайдер корпоративных услуг, бухгалтерии, зарплаты и комплаенса для транснациональных компаний. Есть офис в Румынии; с 2025 г. сотрудничает с LAWorld, сетью независимых юрфирм (Medium).</t>
  </si>
  <si>
    <t xml:space="preserve">Молдова не найдена. Клиенты TMF (транснациональные компании) с операциями в Румынии и Украине могут нуждаться в юристе в Молдове (ASSUMPTION).</t>
  </si>
  <si>
    <t xml:space="preserve">Model C — Long-Term Legal Desk. Международные юридические и консалтинговые фирмы, а также глобальные провайдеры корпоративных услуг (CSP), чьи клиенты (транснациональные компании, группы) нуждаются в постоянном юридическом сопровождении в Молдове.</t>
  </si>
  <si>
    <t xml:space="preserve">Юридическое сопровождение клиентов в Молдове там, где TMF не держит юристов; связка юриста и бухгалтерии.</t>
  </si>
  <si>
    <t xml:space="preserve">Ongoing Legal Advisory; трудовое право; договоры; защита данных (Закон 195/2024); корпоративное управление. Регистрацию предлагать только как часть сопровождения.</t>
  </si>
  <si>
    <t xml:space="preserve">Gabriel Sincu, Country Manager Romania (Medium, данные ноя. 2024 г.: сверить, что он ещё в этой роли).</t>
  </si>
  <si>
    <t xml:space="preserve">«У вас есть Румыния, но нет Молдовы. Мы обеспечим юридическое сопровождение ваших клиентов в Кишинёве по корпоративным стандартам».</t>
  </si>
  <si>
    <t xml:space="preserve">«Строгая проверка поставщиков» → Подготовить пакет документов заранее
«Работаем через глобальные альянсы» → Предложить вход через LAWorld или в их базу поставщиков [проверить требования]
«Мало запросов» → Без обязательств; работа по требованию</t>
  </si>
  <si>
    <t xml:space="preserve">Проверить актуальность контакта в Румынии; параллельно изучить требования LAWorld к членству.</t>
  </si>
  <si>
    <t xml:space="preserve">Uniwide</t>
  </si>
  <si>
    <t xml:space="preserve">Uniwide (основана в Риге в 2014 г., штаб-квартира в Дубае с 2023 г.): регистрация компаний в 30+ юрисдикциях через местных регистрационных агентов (Medium).</t>
  </si>
  <si>
    <t xml:space="preserve">Молдова не найдена. Модель Uniwide построена на местных агентах, и ASSUMPTION: её клиенты из Балтии и с русскоязычных рынков могут проявлять интерес к Молдове.</t>
  </si>
  <si>
    <t xml:space="preserve">Новая юрисдикция в каталоге с юридически надёжным исполнителем.</t>
  </si>
  <si>
    <t xml:space="preserve">Регистрация; юридический адрес [TO CONFIRM]; MyAccounting; корпоративные изменения.</t>
  </si>
  <si>
    <t xml:space="preserve">Jurgis Naunikas, Head of Office Latvia (Medium). Канал: форма на uniwide.com/contact/.</t>
  </si>
  <si>
    <t xml:space="preserve">«Вы работаете через местных агентов в 30+ странах; добавьте Молдову с адвокатом в качестве исполнителя».</t>
  </si>
  <si>
    <t xml:space="preserve">«Нет спроса» → Проверка спроса без обязательств
«Партнёрская программа требует определённых условий» → Сначала уточнить её существование и условия (агент 02 не подтвердил)
«Цены» → Партнёрская ставка по Rate Card</t>
  </si>
  <si>
    <t xml:space="preserve">Сначала уточнить партнёрскую программу (на сайте); затем вводное сообщение через форму. Решить, подходит ли клиентская база с офшорной направленностью (KYC).</t>
  </si>
  <si>
    <t xml:space="preserve">Vistra (incl. Tricor; acquired Biz Latin Hub)</t>
  </si>
  <si>
    <t xml:space="preserve">Vistra (Гонконг): глобальный провайдер корпоративных, фондовых и фидуциарных услуг, объединилась с Tricor и Biz Latin Hub. Подтверждён офис в Бухаресте; CEO Kim Jenkins с июля 2025 г. (High).</t>
  </si>
  <si>
    <t xml:space="preserve">Молдова не найдена. Корпоративные клиенты, работающие из Бухареста, могут нуждаться в сопровождении в Молдове (ASSUMPTION).</t>
  </si>
  <si>
    <t xml:space="preserve">Местное юридическое исполнение и сопровождение там, где у Vistra нет присутствия.</t>
  </si>
  <si>
    <t xml:space="preserve">Ongoing Legal Advisory; корпоративное управление; договоры; трудовое право; правовые заключения.</t>
  </si>
  <si>
    <t xml:space="preserve">Команда Vistra Romania (Бухарест) через форму или телефон +40 21 311 8815 (Medium). Групповой уровень (Kim Jenkins) неприменим для первого контакта.</t>
  </si>
  <si>
    <t xml:space="preserve">«Для клиентов вашего бухарестского офиса Молдова находится рядом; мы можем обеспечить юридическое исполнение в Кишинёве по корпоративным стандартам».</t>
  </si>
  <si>
    <t xml:space="preserve">«Корпоративная проверка поставщиков и страхование» → Пакет документов, страхование [TO CONFIRM]
«Предпочитаем крупных партнёров» → Узкая специализация и скорость ответа
«Сложно найти ответственного» → Начинать с Бухареста</t>
  </si>
  <si>
    <t xml:space="preserve">Определить через публичные источники руководителя Vistra Romania; затем вводное сообщение.</t>
  </si>
  <si>
    <t xml:space="preserve">Virtuzone</t>
  </si>
  <si>
    <t xml:space="preserve">Virtuzone (Дубай): регистрация компаний в ОАЭ; с 2025 г. входит в Ascentium (Сингапур, 27 рынков после покупки Dezan Shira в апреле 2026 г.). Ранее было СП Virtuzone CIS с юрфирмой Seven Pillars Law (Medium).</t>
  </si>
  <si>
    <t xml:space="preserve">Молдова не найдена. История работы с клиентами из СНГ: молдавские предприниматели рассматривают ОАЭ, а клиентам Ascentium может понадобиться Молдова (ASSUMPTION).</t>
  </si>
  <si>
    <t xml:space="preserve">Канал клиентов из Молдовы в ОАЭ; исполнитель в Молдове для группы Ascentium.</t>
  </si>
  <si>
    <t xml:space="preserve">Обратное направление: рекомендации молдавских клиентов в Virtuzone. Для их клиентов: регистрация, договоры, MyAccounting.</t>
  </si>
  <si>
    <t xml:space="preserve">info@virtuzone.com (Medium). Руководство: CEO George Hojeige, Chairman Neil Petch (Medium, данные 2025 г.). Партнёрства, вероятно, решаются на уровне Ascentium (ASSUMPTION).</t>
  </si>
  <si>
    <t xml:space="preserve">«Молдавские предприниматели смотрят на ОАЭ; мы можем быть вашим партнёром в Кишинёве в обе стороны».</t>
  </si>
  <si>
    <t xml:space="preserve">«Реферальная программа рассчитана на входящий поток в ОАЭ» → Начать с этого направления (без вознаграждения адвокату, если этика не позволяет)
«Партнёрства решаются на уровне Ascentium» → Попросить контакт ответственного за партнёрства
«Спрос на Молдову» → Без обязательств</t>
  </si>
  <si>
    <t xml:space="preserve">Отложить до первой волны; затем вводное сообщение в Virtuzone с просьбой о контакте по партнёрствам Ascentium.</t>
  </si>
  <si>
    <t xml:space="preserve">Возможное возражение</t>
  </si>
  <si>
    <t xml:space="preserve">Рекомендуемый ответ</t>
  </si>
  <si>
    <t xml:space="preserve">У нас уже есть исполнитель в Молдове</t>
  </si>
  <si>
    <t xml:space="preserve">Предлагаем юридическую работу, которую BPO-партнёр обычно не делает (заключения, споры, трудовое право), и роль резервного исполнителя</t>
  </si>
  <si>
    <t xml:space="preserve">Circle объединяет BPO-фирмы, а не юристов</t>
  </si>
  <si>
    <t xml:space="preserve">Accace сама упоминает юридическую экспертизу в описании Circle; клиентам нужен местный юрист для корпоративных изменений</t>
  </si>
  <si>
    <t xml:space="preserve">Объём по Молдове небольшой</t>
  </si>
  <si>
    <t xml:space="preserve">Нет минимальных обязательств; пилот на 1–3 заявках</t>
  </si>
  <si>
    <t xml:space="preserve">Мы предпочитаем собственные офисы</t>
  </si>
  <si>
    <t xml:space="preserve">Корреспондентская модель позволяет оценить спрос без затрат; при решении об открытии офиса возможна дальнейшая роль [TO DISCUSS]</t>
  </si>
  <si>
    <t xml:space="preserve">Наши юристы работают в штате</t>
  </si>
  <si>
    <t xml:space="preserve">Консультации по праву Молдовы и представительство в местных органах требуют местного юриста; мы дополняем штат, а не конкурируем</t>
  </si>
  <si>
    <t xml:space="preserve">Нам нужен бухгалтерский, а не юридический партнёр</t>
  </si>
  <si>
    <t xml:space="preserve">Возможна связка с MyAccounting [TO CONFIRM]</t>
  </si>
  <si>
    <t xml:space="preserve">Место аффилиата в Молдове уже занято</t>
  </si>
  <si>
    <t xml:space="preserve">Предлагаем роль второго исполнителя на время пиков нагрузки и для сопровождения после регистрации</t>
  </si>
  <si>
    <t xml:space="preserve">Ценовое давление</t>
  </si>
  <si>
    <t xml:space="preserve">Фиксированные партнёрские цены по Rate Card; разовая регистрация плюс ежемесячный пакет</t>
  </si>
  <si>
    <t xml:space="preserve">Проверка клиентов</t>
  </si>
  <si>
    <t xml:space="preserve">Наш KYC/AML строже: это защита для сети</t>
  </si>
  <si>
    <t xml:space="preserve">Исполнитель уже есть</t>
  </si>
  <si>
    <t xml:space="preserve">Предлагаем резервную схему и пилот</t>
  </si>
  <si>
    <t xml:space="preserve">Фиксированные цены сжимают маржу</t>
  </si>
  <si>
    <t xml:space="preserve">Определяем партнёрскую ставку заранее; работаем пакетами, без почасовых сюрпризов</t>
  </si>
  <si>
    <t xml:space="preserve">Hawksford проверяет поставщиков</t>
  </si>
  <si>
    <t xml:space="preserve">Готовим пакет документов: лицензия, страхование [TO CONFIRM], политики AML и защиты данных</t>
  </si>
  <si>
    <t xml:space="preserve">Наш шаблон рекомендаций предусматривает 20%</t>
  </si>
  <si>
    <t xml:space="preserve">Сначала проверить допустимость по правилам адвокатуры РМ; альтернатива: партнёрская скидка клиенту</t>
  </si>
  <si>
    <t xml:space="preserve">Спрос на Молдову низкий</t>
  </si>
  <si>
    <t xml:space="preserve">Без обязательств; небольшая стоимость старта</t>
  </si>
  <si>
    <t xml:space="preserve">Проверка поставщика</t>
  </si>
  <si>
    <t xml:space="preserve">Взаимный KYC</t>
  </si>
  <si>
    <t xml:space="preserve">Спроса на Молдову мало</t>
  </si>
  <si>
    <t xml:space="preserve">Разовые поручения без обязательств; карточка в базе корреспондентов</t>
  </si>
  <si>
    <t xml:space="preserve">Есть корреспонденты в CEE</t>
  </si>
  <si>
    <t xml:space="preserve">Консультации по праву Молдовы требуют местного адвоката; LEGITIMUS работает на месте</t>
  </si>
  <si>
    <t xml:space="preserve">Готовый пакет документов</t>
  </si>
  <si>
    <t xml:space="preserve">Строгая проверка поставщиков</t>
  </si>
  <si>
    <t xml:space="preserve">Подготовить пакет документов заранее</t>
  </si>
  <si>
    <t xml:space="preserve">Работаем через глобальные альянсы</t>
  </si>
  <si>
    <t xml:space="preserve">Предложить вход через LAWorld или в их базу поставщиков [проверить требования]</t>
  </si>
  <si>
    <t xml:space="preserve">Мало запросов</t>
  </si>
  <si>
    <t xml:space="preserve">Без обязательств; работа по требованию</t>
  </si>
  <si>
    <t xml:space="preserve">Нет спроса</t>
  </si>
  <si>
    <t xml:space="preserve">Проверка спроса без обязательств</t>
  </si>
  <si>
    <t xml:space="preserve">Партнёрская программа требует определённых условий</t>
  </si>
  <si>
    <t xml:space="preserve">Сначала уточнить её существование и условия (агент 02 не подтвердил)</t>
  </si>
  <si>
    <t xml:space="preserve">Цены</t>
  </si>
  <si>
    <t xml:space="preserve">Партнёрская ставка по Rate Card</t>
  </si>
  <si>
    <t xml:space="preserve">Корпоративная проверка поставщиков и страхование</t>
  </si>
  <si>
    <t xml:space="preserve">Пакет документов, страхование [TO CONFIRM]</t>
  </si>
  <si>
    <t xml:space="preserve">Предпочитаем крупных партнёров</t>
  </si>
  <si>
    <t xml:space="preserve">Узкая специализация и скорость ответа</t>
  </si>
  <si>
    <t xml:space="preserve">Сложно найти ответственного</t>
  </si>
  <si>
    <t xml:space="preserve">Начинать с Бухареста</t>
  </si>
  <si>
    <t xml:space="preserve">Реферальная программа рассчитана на входящий поток в ОАЭ</t>
  </si>
  <si>
    <t xml:space="preserve">Начать с этого направления (без вознаграждения адвокату, если этика не позволяет)</t>
  </si>
  <si>
    <t xml:space="preserve">Партнёрства решаются на уровне Ascentium</t>
  </si>
  <si>
    <t xml:space="preserve">Попросить контакт ответственного за партнёрства</t>
  </si>
  <si>
    <t xml:space="preserve">Спрос на Молдову</t>
  </si>
  <si>
    <t xml:space="preserve">Без обязательств</t>
  </si>
  <si>
    <t xml:space="preserve">Сайт</t>
  </si>
  <si>
    <t xml:space="preserve">Адресат (имя, роль, достоверность)</t>
  </si>
  <si>
    <t xml:space="preserve">Публичный канал</t>
  </si>
  <si>
    <t xml:space="preserve">Проверенные факты (EN, с достоверностью)</t>
  </si>
  <si>
    <t xml:space="preserve">Конкретное предложение</t>
  </si>
  <si>
    <t xml:space="preserve">Главный аргумент</t>
  </si>
  <si>
    <t xml:space="preserve">Рекомендуемый тон</t>
  </si>
  <si>
    <t xml:space="preserve">Не говорить / не утверждать</t>
  </si>
  <si>
    <t xml:space="preserve">Сверить перед письмом</t>
  </si>
  <si>
    <t xml:space="preserve">Источники</t>
  </si>
  <si>
    <t xml:space="preserve">Статус</t>
  </si>
  <si>
    <t xml:space="preserve">https://accace.com</t>
  </si>
  <si>
    <t xml:space="preserve">Mihaela Pašek-Virlan — Partner and CEO (since early 2020) (Medium (own-domain snippet; page undated))
Alžbeta Košinár — Business Development &amp; Community Lead, Accace Circle (Medium)
Рекомендовано: Alžbeta Košinár, Business Development &amp; Community Lead, Accace Circle (Medium; circle.accace.com). Вторая линия: CEO Mihaela Pašek-Virlan (Medium).</t>
  </si>
  <si>
    <t xml:space="preserve">not verified on own domain (agent 01 directory emails slovakia@accace.com / czechrepublic@accace.com remain unverified)
not verified on own domain
not verified (accace.com unreachable: ENOTFOUND)
(current: unclear, confidence: Low)</t>
  </si>
  <si>
    <t xml:space="preserve">Moldova: offered (delivery: unclear) [Medium] — Dedicated page 'Corporate and secretarial services in Moldova' indexed on accace.com (company setup, tax registration, permits). No Chisinau office address found; Moldova not in the own-office list (theorg.com). ASSUMPTION: Moldova is likely delivered through a Circle/partner provider, not an own entity.
Multi-country: Accace Circle states coverage of 60+ jurisdictions / 7,000+ professionals (search summary of circle.accace.com); older Accace pages say ~40 (2020) and AmCham RO profile says 50+. Own offices only in a subset (CZ, HU, PL, RO, SK, ZA, UA, UK per theorg.com); other locations 'covered via Accace's trusted network of partners'. [Medium]
Law-firm cooperation: partial - network of BPO providers and advisors (Accace Circle), not a law-firm network — Accace Circle = 'co-created business community of like-minded BPO providers and advisors' under one account management; Business Development &amp; Community Lead named. Legal experts referenced but law firms are not explicitly the core membership. [Medium]</t>
  </si>
  <si>
    <t xml:space="preserve">Профессиональный, по-партнёрски; без продажи бухгалтерии; акцент на дополнении текущей схемы.</t>
  </si>
  <si>
    <t xml:space="preserve">Не утверждать, что у Accace нет исполнителя в Молдове; не предлагать бухгалтерию. Не указывать цены и не делать предложений по вознаграждению.</t>
  </si>
  <si>
    <t xml:space="preserve">• Emails slovakia@ / czechrepublic@accace.com and phones: From third-party directories only; own domain not reachable.
• HQ address Twin City C vs Pribinova 40: Conflict noted by agent 01 not resolved; FinStat registry change Oct 2024 suggests Twin City address may be outdated.
• Jurisdiction example list includes Serbia, Moldova: Serbia/Moldova may be partner-covered rather than own offices; agent 01 did not distinguish.</t>
  </si>
  <si>
    <t xml:space="preserve">https://www.accace.com/locations/moldova/corporate-and-secretarial-services/
https://circle.accace.com/
https://www.accace.com/about-us/meet-our-key-people/
https://accace.com/accace-circle-new-markets-within-your-reach-press-release/
https://www.amcham.ro/company/accace-outsourcing
https://theorg.com/org/accace
https://circle.accace.com/?p=205
https://circle.accace.com/ (interview indexed on circle.accace.com)</t>
  </si>
  <si>
    <t xml:space="preserve">Ждёт утверждения MP</t>
  </si>
  <si>
    <t xml:space="preserve">https://eurofast.eu</t>
  </si>
  <si>
    <t xml:space="preserve">Antonis Gavrielides — Managing Director (since June 2025; formerly Group CEO from Nov 2022) (Medium)
Irena Damianou — Managing Director (Nicosia); formerly Chief Marketing Officer / Board member (Medium)
Christodoulos (Chris) Damianou — Non-Executive Chairman (as of Gavrielides CEO appointment, 2022) - current role not re-confirmed (Low)
Рекомендовано: Antonis Gavrielides и Irena Damianou, Managing Directors (Medium). Канал: info@eurofast.eu (найден только в стороннем источнике, нужно сверить).</t>
  </si>
  <si>
    <t xml:space="preserve">info@eurofast.eu
+30 210 82 57 720 (Athens, per career.auth.gr); +357 22 699 000 (Nicosia, per BKR directory per agent 01 - not re-confirmed)
not verified (eurofast.eu not fetchable)
(current: unclear, confidence: Low)</t>
  </si>
  <si>
    <t xml:space="preserve">Moldova: not found (delivery: n/a) [Medium] — Office list on own domain contains no Moldovan city; nearest offices Bucharest, Targoviste (RO) and Kyiv (UA). Searches 'Eurofast Moldova/Chisinau' returned no Eurofast Moldova service. Whether they serve Moldova via Bucharest/Kyiv or a correspondent: not found.
Multi-country: Meet Eurofast page: presence in over 25 cities; fully-fledged offices Athens, Thessaloniki, Nicosia, Sofia, Plovdiv, Bucharest, Belgrade, Nis, Targoviste, Podgorica, Tirana, Skopje, Zagreb, Ljubljana, Pristina, Banja Luka, Sarajevo, Cairo, Tbilisi, Kyiv, Vilnius, Tallinn, Dubai; associate offices Beirut, Erbil. Press release: 24 offices / 24 cities / 20 countries. [Medium]
Law-firm cooperation: unclear - network membership only; legal delivered in-house — Member of BKR International and PrimeGlobal (accounting/advisory associations), historically Taxand Cyprus member. Meet Eurofast page describes a 'Dream Team' of local advisors 'comprising lawyers, accountants', i.e. legal work done by own staff. No 'local counsel' / law-firm partner page found. ASSUMPTION: for jurisdictions without an office (e.g. Moldova) they would need an external correspondent. [Medium]</t>
  </si>
  <si>
    <t xml:space="preserve">Партнёрский, региональный («соседи»); подчеркнуть экономию и гибкость.</t>
  </si>
  <si>
    <t xml:space="preserve">Не утверждать, что Eurofast получает запросы по Молдове: это вопрос, а не факт. Не указывать цены и не делать предложений по вознаграждению.</t>
  </si>
  <si>
    <t xml:space="preserve">• Presence in 21+ cities (~19 countries): Own site now says 25+ cities; press release says 24 offices / 24 cities / 20 countries (added Thessaloniki, Plovdiv, Nis; Targoviste also listed).
• Email info@eurofast.eu (not verified on site): Still from a third-party career profile only, though it matches the domain.
• Phone +357 22 699 000; address Cypress Centre, 5 Chytron St, Nicosia: Not re-found in this check; the third-party profile gives an Athens number, 210 82 57 720.
• Decision makers: Agent 01 named none. Two MDs (Gavrielides, I. Damianou) were found on the own domain.</t>
  </si>
  <si>
    <t xml:space="preserve">https://eurofast.eu/wp-content/uploads/2026/05/Eurofast-Company-Profile_2026-1.pdf
https://eurofast.eu/member/gavrielides-antonis/
https://eurofast.eu/eurofast-expands-regional-presence-with-new-offices-in-southeast-europe/
https://www.primeglobal.net/news/new-brand-identity-eurofast
https://bkr.com/cyrpus-member-eurofast-introduces-refreshed-brand-identity/
https://ergodotisi.com/jobs/6999150/Eurofast+International+Ltd/Tax+Advisor
https://poslovi.infostud.com/posao/tax-legal-advisor/eurofast-international-doo/727867
https://eurofast.eu/meet-eurofast/
https://www.primeglobal.net/firms/eurofast
https://career.auth.gr/companies/eurofast/
https://bkr.com/firm/eurofast-ltd/
https://eurofast.eu/member/damianou-irena/ ; https://eurofast.eu/eurofast-expands-regional-presence-with-new-offices-in-southeast-europe/
https://eurofast.eu/antonis-gavrielides-appointed-new-eurofast-group-ceo/</t>
  </si>
  <si>
    <t xml:space="preserve">https://bridgewest.eu</t>
  </si>
  <si>
    <t xml:space="preserve">Vlad Cuc — Co-founder and General Director, BridgeWest (per LinkedIn headline) (Low)
Рекомендовано: Раздел «Join Our Network» на bridgewest.eu и office@bridgewest.eu. Co-founder Vlad Cuc (Low, только заголовок LinkedIn).</t>
  </si>
  <si>
    <t xml:space="preserve">office@bridgewest.eu
(+35) 699 699 405 on main contact page (ASSUMPTION: Malta mobile +356 9969 9405, prefix printed incompletely); +44 203 287 0408 appears on Bahamas page
https://bridgewest.eu/contact/
(current: unclear, confidence: Medium)</t>
  </si>
  <si>
    <t xml:space="preserve">Moldova: offered (delivery: unclear) [Medium] — Dedicated page: 'team of company registration agents in Moldova' for local/foreign investors, ready-made Moldovan companies and VAT registration. Sitemap lists an 'About Us Moldova' page whose content was not visible; identity of the Moldovan affiliate not found (ASSUMPTION: delivered by an independent Moldovan affiliate, consistent with network model).
Multi-country: Own claim: network 'activating in over 70 countries' (LinkedIn: 'over 65 countries'); country pages/divisions for Ireland, Singapore, Germany, Denmark, Portugal, Luxembourg (via Luxstart S.A.), Romania, Georgia, Bosnia, etc. [Medium]
Law-firm cooperation: yes — Business model built on independent affiliates incl. law firms; 'Partner Law Firms' page names local firms (e.g. Rolegal and E&amp;C in Bucharest 'part of our legal network'); homepage 'Join Our Network' section (terms not visible). Cyprus page profiles a lawyer (Cyprus Bar member since 1980). [Medium]</t>
  </si>
  <si>
    <t xml:space="preserve">Деловой, конкретный, краткий; как заявка на вступление в сеть.</t>
  </si>
  <si>
    <t xml:space="preserve">Не продвигать «готовые компании» и не обещать сроки регистрации. Не указывать цены и не делать предложений по вознаграждению.</t>
  </si>
  <si>
    <t xml:space="preserve">• HQ Cyprus (Nicosia): LinkedIn company page says Nicosia/Cyprus, but main contact page shows Malta (San Gwann) address. Conflict unresolved.
• Affiliates OpenCompanySingapore.com, ThaiCompanyFormation.com, LawyersIreland.eu: Found Irelandcompanyformation.com, CompanyFormationGermany.com, CompanyFormationDenmark.com as divisions; the specific domains named by agent 01 not seen in snippets.
• Phone +44 203 287 0408 as main number: Main contact page shows (+35) 699 699 405 (likely Malta); +44 number appears on Bahamas page. Some country contact pages very old.
• 'Smaller firm, easier to reach decision makers': Plausible; co-founder found only via LinkedIn headline (Vlad Cuc). ASSUMPTION.
• Operating recency not verified: No dated 2025-2026 news/posts found; pages indexed 190-270 days ago indicate some maintenance.</t>
  </si>
  <si>
    <t xml:space="preserve">https://bridgewest.eu/
https://bridgewest.eu/about-us/
https://bridgewest.eu/company-formation-kuwait/
https://www.linkedin.com/company/bridgewest-limited
https://bridgewest.eu/about-us-ireland/
https://bridgewest.eu/about-us-luxembourg/
https://bridgewest.eu/company-formation-moldova/
https://bridgewest.eu/website-sitemap/
https://www.bridgewest.eu/partner-law-firms
https://bridgewest.eu/company-registered-office-armenia/
https://bridgewest.eu/contact/
https://www.bridgewest.eu/contact-bahamas
https://www.bridgewest.eu/contact-belize
https://www.linkedin.com/in/vlad-cuc-21152610/</t>
  </si>
  <si>
    <t xml:space="preserve">https://www.healyconsultants.com</t>
  </si>
  <si>
    <t xml:space="preserve">Aidan Healy — Founder / Managing Director (self-profile states semi-retired since 2018, relies on CEOs) (Medium)
Michel van Leeuwen — Group Chief Executive, Hawksford (as of Sept 2023 announcement) (Medium)
Рекомендовано: healy@hawksford.com (Medium). Уровень группы: Michel van Leeuwen, Group CEO Hawksford (Medium, данные 2023 г., сверить).</t>
  </si>
  <si>
    <t xml:space="preserve">healy@hawksford.com
+65 6031 0332 (SG); +971 4266 4470 (Dubai); WhatsApp +65 9123 7743
https://www.healyconsultants.com/contact-us/
(current: yes, confidence: Medium)</t>
  </si>
  <si>
    <t xml:space="preserve">Moldova: offered (delivery: unclear) [Medium] — Dedicated Moldova pages: LLC with 1 director/1 shareholder, US$300 min capital, ~2 weeks, filings with State Registration Chamber via power of attorney; fee page cites avg first-year engagement US$10,145 and annual US$1,475-3,775 (internal inconsistency). No own Moldovan office found. ASSUMPTION: execution via local Moldovan lawyers/agents.
Multi-country: Claims set-up in 200+ countries since 2003 and professional relationships with banks, governments, lawyers and accountants in 180+ locations. [Medium]
Law-firm cooperation: yes — Site states relationships with lawyers and accountants in 180+ locations; testimonials from local law firms working with Healy (Lebanese law firm since 2014; Baoleki Attorneys, Botswana, since 2018); Malaysia case mentions 'our solicitor in Kuala Lumpur'. No formal partner programme page found. [Medium]</t>
  </si>
  <si>
    <t xml:space="preserve">Операционный, точный, с акцентом на процесс и сроки ответа.</t>
  </si>
  <si>
    <t xml:space="preserve">Не ссылаться на их цены как на аргумент «вы переплачиваете»; не обещать сроки. Не указывать цены и не делать предложений по вознаграждению.</t>
  </si>
  <si>
    <t xml:space="preserve">• Setup cost EUR 7,950: Current snippets show average first-year fee US$10,145 and annual US$1,475/3,775; EUR 7,950 not seen.
• 2025 case study: Maltese client registering recruitment agency in Moldova: Targeted search returned no such case study; 'Client case studies' section exists but text not visible.
• '10 steps to incorporate in Moldova in 2026' implies 2026 activity: Titles say 2026 but search metadata shows pages ~797 days old (year likely auto-updated).
• email@healyconsultants.com likely outdated: Old blog contact page also lists old Valley Point address and +65 6735 0120 (~4,300 days old).
• Dubai office renamed Hawksford (privatebankerinternational.com): Hawksford gained Dubai presence via Healy subsidiary (confirmed); renaming not re-verified.</t>
  </si>
  <si>
    <t xml:space="preserve">https://www.healyconsultants.com/contact-us/
https://www.hawksford.com/insights-and-guides/hawksford-acquires-healy-consultants
https://www.healyconsultants.com/about-us/
https://www.healyconsultants.com/
https://www.healyconsultants.com/moldova-company-registration/
https://www.healyconsultants.com/moldova-company-registration/incorporation-steps/
https://www.healyconsultants.com/moldova-company-registration/fees-timelines/
https://www.healyconsultants.com/moldova-company-registration/setup-llc/
https://www.healyconsultants.com/clients/testimonials/
https://www.healyconsultants.com/about-us/key-personnel/aidan-healy-profile/</t>
  </si>
  <si>
    <t xml:space="preserve">https://www.commitbiz.com</t>
  </si>
  <si>
    <t xml:space="preserve">Manu Thomas V — Managing Director, Commitbiz LLC (Medium)
Рекомендовано: Manu Thomas V, Managing Director (Medium, пресс-релиз авг. 2025). Канал: info@commitbiz.com, /contact-us.</t>
  </si>
  <si>
    <t xml:space="preserve">info@commitbiz.com (from agent 01; not re-confirmed in this check)
+971 4 386 7444 (shown in contact page title); +971 4 871 4159 not re-confirmed
https://www.commitbiz.com/contact-us
(current: yes, confidence: Medium)</t>
  </si>
  <si>
    <t xml:space="preserve">Moldova: not found (delivery: n/a) [Medium] — Moldova appears only in the UAE double-tax-treaty list on the tax residency certificate page. No Moldova formation page found. Romania (Bucharest) office address exists on contact page, but Romanian office phone shown with +971 code - office may be a representative/virtual presence (ASSUMPTION).
Multi-country: Formation/PRO pages for UAE, Qatar, Bahrain, Saudi Arabia, Oman; offices listed in Dubai, Abu Dhabi, Sharjah, Sanabis (Bahrain), Doha, Barka (Oman), London, Moscow, Naples, Bucharest. [Medium]
Law-firm cooperation: yes - formal two-way referral agreement published — Published REFERRAL AGREEMENT: either party may refer leads via referral form; 7 days to accept/decline; referral fee 20% of professional fee per conversion (or referrer adds a margin); 30-day termination; 1-year non-solicit; UAE law, Dubai courts. Not law-firm-specific, but a ready bilateral B2B model. Blog mentions a business unit head with corporate lawyer background; no named external law-firm network found. [High]</t>
  </si>
  <si>
    <t xml:space="preserve">Предпринимательский, прямой, «взаимная выгода».</t>
  </si>
  <si>
    <t xml:space="preserve">Не соглашаться и не упоминать их 20% как приемлемые; не обсуждать финансовые условия в первом письме. Не указывать цены и не делать предложений по вознаграждению.</t>
  </si>
  <si>
    <t xml:space="preserve">• Oman office in Muscat: Own-domain snippet lists Barka (Oman), not Muscat.
• Main phone +971 4 871 4159 vs +971 4 386 7444: Only +97143867444 re-seen (contact page title).
• Abu Dhabi address may be outdated: Directory shows Al Salam Street near Canon building; low-confidence third-party.
• 'Strongest regional fit' / Legitimus as Moldova node next to Romania office: Analytical; Romania office substance unverified (UAE phone number). Moscow office also needs sanctions/reputational screening.
• No decision maker given: Found MD Manu Thomas V in Aug 2025 release.</t>
  </si>
  <si>
    <t xml:space="preserve">https://www.commitbiz.com/contact-us
https://www.prnewswire.com/ae/ar/news-releases/u0645u0643u062Au0628u002Du0063u006Fu006Du006Du0069u0074u0062u0069u007Au002Du0641u064Au002Du062Fu0628u064Au002Du064Au064Eu062Du0635u0644u002D-302530821.html
https://aijourn.com/?p=382000
https://www.commitbiz.com/sa/pro-services-in-saudi-arabia
https://www.commitbiz.com/tax-residency-certificate-uae
https://www.commitbiz.com/refer-and-earn-terms-conditions
https://www.commitbiz.com/accounting-bookkeeping-services-in-dubai-uae
https://www.commitbiz.com/vat-in-uae
https://www.commitbiz.com/business-management-services-uae
https://aijourn.com/?p=382000 (PRNewswire release, 14 Aug 2025)</t>
  </si>
  <si>
    <t xml:space="preserve">https://www.sovereigngroup.com</t>
  </si>
  <si>
    <t xml:space="preserve">Gerry Kelly — Group Chief Executive Officer (Medium)
Howard Bilton — Group Chairman and founder (Medium)
Nicholas Cully — Group Sales Director (Medium)
Sebastien Philipona — Head of Business Development, Malta &amp; Cyprus (Medium)
Ejaz Niazi — Head of Business Development, Sovereign Trust (Gibraltar) Ltd (Medium)
Рекомендовано: Sebastien Philipona, Head of BD Malta &amp; Cyprus, или Nicholas Cully, Group Sales Director (Medium). Канал: форма на sovereigngroup.com/contact-us/.</t>
  </si>
  <si>
    <t xml:space="preserve">info@SovereignGroup.com; gib@SovereignGroup.com (from agent 01, not re-confirmed)
+350 200 76173 (Gibraltar, from agent 01, not re-confirmed)
https://www.sovereigngroup.com/contact-us/
(current: yes, confidence: Medium)</t>
  </si>
  <si>
    <t xml:space="preserve">Moldova: not found (delivery: n/a) [Medium] — No Moldova or Romania pages/offices in domain-restricted searches; no CEE office.
Multi-country: Offices page lists ~23 entries (Abu Dhabi, Bahrain, Cyprus, Dubai, Gibraltar, Guernsey, Hong Kong, Isle of Man, Malta, Mauritius, Oman, Portugal, Qatar, Saudi Arabia, Singapore, Cape Town, Switzerland, London, Chester); locations page adds Bahamas, Turks &amp; Caicos. Claims 20,000 structures since 1987, 400+ staff, 30+ licences. [High]
Law-firm cooperation: yes - works with and for professional intermediaries — Offices serve 'professional intermediaries'; Isle of Man and Dubai offer white-label services so professional firms deliver structures under their own brand; BD roles focus on relationships with accountants, legal and tax advisors; jobs ad mentions building referral networks with law and accounting firms. No formal introducer programme page or published terms. [Medium]</t>
  </si>
  <si>
    <t xml:space="preserve">Сдержанный, private-client: конфиденциальность, качество, адвокатская тайна.</t>
  </si>
  <si>
    <t xml:space="preserve">Не продвигать налоговую оптимизацию; не использовать «offshore». Не указывать цены и не делать предложений по вознаграждению.</t>
  </si>
  <si>
    <t xml:space="preserve">• 20+ jurisdictions; 600 professionals: 20+ confirmed; corporate services page says 400+ staff directly - figures conflict.
• Jurisdiction examples incl. Shanghai, BVI (Wikipedia): Current offices page shows ~23 entries; Shanghai/BVI not seen in it; Bahamas listed on locations page. Wikipedia list may be a dated snapshot.
• Contacts info@/gib@, +350 200 76173: Not re-seen in this pass; contact page live.
• No decision makers given: CEO Gerry Kelly, Chairman Howard Bilton, BD heads now identified.
• Saudi entity licence: Saudi page cites MISA licence valid until 6 May 2026 (now passed) - not an agent 01 claim but a currency flag.</t>
  </si>
  <si>
    <t xml:space="preserve">https://www.sovereigngroup.com/offices/
https://www.sovereigngroup.com/events/sovereign-at-going-global-live-2025/
https://www.sovereigngroup.com/news/sovereign-group-acquires-pro-partner-group-to-further-expand-its-gcc-footprint/
https://www.sovereigngroup.com/locations/
https://www.sovereigngroup.com/our-services/corporate-services/
https://www.sovereigngroup.com/isle-man/
https://www.sovereigngroup.com/dubai/
https://www.sovereigngroup.com/staff/herman-redelinghuys/
https://www.sovereigngroup.com/jobs/trust-and-corporate-services-consultant/
https://www.sovereigngroup.com/contact-us/
https://www.sovereigngroup.com/staff/gerry-kelly/
https://www.sovereigngroup.com/staff/howard-bilton/
https://www.sovereigngroup.com/sovereign-stories/nicholas-cully-group-sales-director/
https://www.sovereigngroup.com/staff/sebastien-philipona/
https://www.sovereigngroup.com/staff/ejaz-niazi/</t>
  </si>
  <si>
    <t xml:space="preserve">https://www.tmf-group.com</t>
  </si>
  <si>
    <t xml:space="preserve">Gabriel Sincu — Country Manager Romania (Nov 2024 press release) (Medium (may be outdated))
Jan Willem van Drimmelen — Head of Europe (Medium)
Agnė Jasinskaitė — Country Head of the Baltics (Medium)
Рекомендовано: Gabriel Sincu, Country Manager Romania (Medium, данные ноя. 2024 г.: сверить, что он ещё в этой роли).</t>
  </si>
  <si>
    <t xml:space="preserve">not found
+31 20 575 5600 (third-party only)
not verified
(current: unclear, confidence: Low)</t>
  </si>
  <si>
    <t xml:space="preserve">Moldova: not found (delivery: n/a) [Medium] — No Moldova page or office in results; nearest office Bucharest, Romania (America House, Country Manager Gabriel Sincu).
Multi-country: 125+ offices in 87 jurisdictions (own locations and regulatory status pages). [High]
Law-firm cooperation: limited evidence — 2025 partnership agreement with LAWorld (network of independent law firms) making TMF available to LAWorld members and clients - TMF sells to law-firm networks rather than sourcing local counsel; no partner programme for non-office jurisdictions found. [Low]</t>
  </si>
  <si>
    <t xml:space="preserve">Корпоративный, формальный: процессы, SLA, комплаенс.</t>
  </si>
  <si>
    <t xml:space="preserve">Не предлагать бухгалтерию: это их ядро. Не указывать цены и не делать предложений по вознаграждению.</t>
  </si>
  <si>
    <t xml:space="preserve">• No public partner programme: LAWorld partnership (2025) with independent law firms found - partial counter-evidence.
• Phone +31 20 575 5600: ZoomInfo only.</t>
  </si>
  <si>
    <t xml:space="preserve">https://www.tmf-group.com/en/news-insights/press-releases/tmf-group-acquires-nordgain/
https://www.baltictimes.com/tmf_group_expands_into_estonia_following_its_acquisition_of_nordgain
https://www.tmf-group.com/en/news-insights/events-webinars/tmf-group-nordgain-client-reception-celebrating-new-chapter-baltics/
https://www.tmf-group.com/en/locations/
https://www.tmf-group.com/en/legal/regulatory-status
https://www.tmf-group.com/en/locations/emea/romania
https://mediafax.ro/comunicate/tmf-group-a-leading-provider-of-compliance-and-administrative-services-22555939/amp
WebSearch summary 'TMF Group partner network' 2026-10-08 (LAWorld announcement; URL not shown)
https://www.tmf-group.com/en/locations/emea/netherlands</t>
  </si>
  <si>
    <t xml:space="preserve">https://www.uniwide.com</t>
  </si>
  <si>
    <t xml:space="preserve">Jurgis Naunikas — Head of Office, Latvia (Medium)
Alexei Kariakin — General Manager, Uniwide Advisors (per Siliconindia interview, search summary) (Low)
Рекомендовано: Jurgis Naunikas, Head of Office Latvia (Medium). Канал: форма на uniwide.com/contact/.</t>
  </si>
  <si>
    <t xml:space="preserve">not found
+371 6611 8787 (Riga); +44 (0)20 4501 0600 (London) - per agent 01, not re-checked
https://www.uniwide.com/contact/
(current: unclear, confidence: Low)</t>
  </si>
  <si>
    <t xml:space="preserve">Moldova: not found (delivery: n/a) [Low] — No uniwide.com page mentioning Moldova surfaced in searches.
Multi-country: Offices Riga (2014), Seychelles (2015, licensed registered agent 2016), London (2019), Dubai (2023); 30+ jurisdictions per directory and agent 01 snippets. [Medium]
Law-firm cooperation: reported (partner programme for law firms) - not re-confirmed this run — Agent 01 cites uniwide.com/partner-programme (referral and subcontractor models, aimed at law firms, banks, PSPs, tax advisers) and 'partnerships with local registration agents'. Re-check searches returned no uniwide.com partner page. [Low]</t>
  </si>
  <si>
    <t xml:space="preserve">Практичный, короткий.</t>
  </si>
  <si>
    <t xml:space="preserve">Не ссылаться на «программу для юрфирм» как на факт до её проверки. Не указывать цены и не делать предложений по вознаграждению.</t>
  </si>
  <si>
    <t xml:space="preserve">• Partner Programme for law firms (referral + subcontractor): Not re-surfaced by three targeted searches; page may exist but unverified this run.
• Phones Riga/London/Seychelles: Not re-checked; contact page not fetchable.
• Uniwide Formations (uniwide.co.uk) is its London arm: About page mentions London formation office 2019; link to uniwide.co.uk not verified.
• Scale score 2: Directory lists ~1,900 employees (implausible; Low confidence) - scale unclear.</t>
  </si>
  <si>
    <t xml:space="preserve">https://www.uniwide.com/about/
https://www.uniwide.com/about/our-team/
https://www.uniwide.com/uniwide-advisors-recognised-as-one-of-the-most-promising-company-registration-consultants-in-the-uae/
https://www.uniwide.com/which-is-the-best-registered-agent-for-an-offshore-company-in-seychelles/
https://directory.partner.io/uniwide-biz
WebSearch 'Uniwide company formation Moldova' 2026-10-08 (no uniwide.com result)
https://www.uniwide.com/partner-programme/ (per agent 01; not re-surfaced)
https://www.uniwide.com/contact/
Siliconindia interview (URL not shown in snippet); see https://www.uniwide.com/uniwide-advisors-recognised-as-one-of-the-most-promising-company-registration-consultants-in-the-uae/</t>
  </si>
  <si>
    <t xml:space="preserve">https://www.vistra.com</t>
  </si>
  <si>
    <t xml:space="preserve">Kim Jenkins — Group Chief Executive Officer (from July 2025) (High)
Steven van Tuijl — Regional Managing Director, Continental Europe (appointed June 2021 - may be outdated) (Medium)
Рекомендовано: Команда Vistra Romania (Бухарест) через форму или телефон +40 21 311 8815 (Medium). Групповой уровень (Kim Jenkins) неприменим для первого контакта.</t>
  </si>
  <si>
    <t xml:space="preserve">not found
+852 2521 3661 (HQ); Romania +40 21 311 8815
https://www.vistra.com/contact-form
(current: yes, confidence: High)</t>
  </si>
  <si>
    <t xml:space="preserve">Moldova: not found (delivery: n/a) [Medium] — Only Moldova mention on vistra.com is in an apostille-country list. No Moldova office/service page found. (Name coincidence: Kristopher Moldovan is CFO of Vistra Corp - unrelated US energy company.)
Multi-country: 50+ markets, 9,000+ colleagues; claims coverage of 170+ countries via Vistra Global Solutions; CEE offices incl. Poland and Romania (Bucharest, Vistra Professional Services SRL). [High]
Law-firm cooperation: unclear — Vistra states it is not a law firm and has no notaries/solicitors on staff; claims 170+ country coverage (ASSUMPTION: non-office countries served via third-party providers, possibly law firms). Public partnerships found are EOR (G-P, Oyster), not law firms. Pre-acquisition affiliate arrangement with Biz Latin Hub. [Low]</t>
  </si>
  <si>
    <t xml:space="preserve">Корпоративный, сдержанный.</t>
  </si>
  <si>
    <t xml:space="preserve">Не писать CEO группы. Не указывать цены и не делать предложений по вознаграждению.</t>
  </si>
  <si>
    <t xml:space="preserve">• Tricor merged in: Not re-verified in this pass.</t>
  </si>
  <si>
    <t xml:space="preserve">https://www.vistra.com/insights/vistra-appoints-kim-jenkins-group-chief-executive-officer
https://www.vistra.com/insights/vistra-launches-partnership-g-p-bridge-eor-and-entity-based-expansion-and-simplify
https://cfotech.news/story/vistra-launches-latam-unit-after-biz-latin-hub-deal
https://careers.vistra.com/
https://www.vistra.com/vgs
https://www.vistra.com/locations/emea/romania
https://www.vistra.com/locations/emea/poland
https://www.vistra.com/speciality-services/legalisation/apostille-faqs
https://www.vistra.com/insights/vistra-and-oyster-partner-expand-global-workforce-solutions
https://www.vistra.com/corporate/entity-management-solution
https://www.vistra.com/about/head-office
https://vistra.com/insights/vistra-appoints-steven-van-tuijl-regional-managing-director-continental-europe</t>
  </si>
  <si>
    <t xml:space="preserve">https://virtuzone.com</t>
  </si>
  <si>
    <t xml:space="preserve">George Hojeige — CEO / Group CEO, Virtuzone (as quoted in Jan 2025 acquisition coverage) (Medium)
Neil Petch — Co-founder and Chairman, Virtuzone (Jan 2025) (Medium)
Lennard Yong — CEO, Ascentium (parent) (Medium)
Paul Bryson — Managing Director (appointed June 2023; current status not confirmed) (Low)
Рекомендовано: info@virtuzone.com (Medium). Руководство: CEO George Hojeige, Chairman Neil Petch (Medium, данные 2025 г.). Партнёрства, вероятно, решаются на уровне Ascentium (ASSUMPTION).</t>
  </si>
  <si>
    <t xml:space="preserve">info@virtuzone.com
+971 4 457 8200
https://virtuzone.com/contactus
(current: unclear, confidence: Medium)</t>
  </si>
  <si>
    <t xml:space="preserve">Moldova: not found (delivery: n/a) [Medium] — No Moldova formation service found. A CIS-focused JV (Virtuzone CIS with Seven Pillars Law, AIFC Astana) covered CIS/Central Asia c.2020; its current status was not found.
Multi-country: Virtuzone's offshore page lists 5 jurisdictions (per agent 01); Ascentium acquired Dezan Shira in April 2026 -&gt; 27 markets; earlier 23 markets/45 cities (Dec 2025); also acquired Clara (ADGM, Feb 2026), ZICO (Aug 2025). [Medium]
Law-firm cooperation: yes (historic) - JV with law firm Seven Pillars Law — Virtuzone CIS JV with Seven Pillars (Central Asian law firm founded by Mark Beer) for formation + legal across CIS/Central Asia; chairman Neil Petch quoted on need for local partners. Public referral platform pays a fixed fee per referred client (AED 3,000 setup / AED 1,500 corporate services, 'estimates may vary') - this is inbound referral to UAE, not a law-firm partnership. [Medium]</t>
  </si>
  <si>
    <t xml:space="preserve">Энергичный, предпринимательский.</t>
  </si>
  <si>
    <t xml:space="preserve">Не регистрироваться на их реферальной платформе до решения по этике вознаграждений. Не указывать цены и не делать предложений по вознаграждению.</t>
  </si>
  <si>
    <t xml:space="preserve">• Ascentium 27 markets / 58 cities: 27 markets confirmed (April 2026, Dezan Shira deal); 58 cities was not found (Dec 2025: 45 cities).
• Contacts info@virtuzone.com, +971 4 457 8200, Souk Al Bahar address: Not re-verified (site not fetchable); possible office changes after the acquisition.
• Decision makers: Agent 01 named none. Hojeige (CEO) and Petch (Chairman) found in 2025 press; the Bryson MD role (2023) may be outdated.
• Score 4.1 (highest in set): Overstated relative to Moldova relevance; Eurofast is a better fit.</t>
  </si>
  <si>
    <t xml:space="preserve">https://enterpriseam.com/uae/2025/01/22/singapores-ascentium-is-the-new-owner-of-dubai-based-virtuzone/
https://gulfbusiness.com/en/2025/dubai/virtuzone-has-been-acquired-by-singapore-based-ascentium/
https://referral.virtuzone.com/
https://www.china-briefing.com/news/ascentium-acquires-dezan-shira-associates-expanding-its-footprint-to-27-markets-and-strengthening-corporate-services-capabilities/
https://www.aap.com.au/aapreleases/cision20251210ae41303
https://virtuzone.com/press-release/virtuzone-and-seven-pillars-law-create-joint-venture-virtuzone-cis/
https://virtuzone.com/contactus
https://mena.entrepreneur.com/finance/virtuzone-taken-over-by-singapores-ascentium/485837
https://gulfnews.com/business/corporate-news/virtuzone-names-paul-bryson-as-managing-director-as-part-of-growth-push-1.1687348960666</t>
  </si>
  <si>
    <t xml:space="preserve">Допущение / вопрос</t>
  </si>
  <si>
    <t xml:space="preserve">Результат проверки</t>
  </si>
  <si>
    <t xml:space="preserve">Источник</t>
  </si>
  <si>
    <t xml:space="preserve">Влияние на стратегию</t>
  </si>
  <si>
    <t xml:space="preserve">Кодекс этики адвокатов РМ разрешает или запрещает раздел гонорара и реферальные вознаграждения</t>
  </si>
  <si>
    <t xml:space="preserve">В открытых источниках найдены только общие нормы: гонорар устанавливается свободно по соглашению с клиентом, должен быть справедливым, нарушение Кодекса является дисциплинарным проступком. Специальная норма о разделе гонорара или комиссиях не найдена.</t>
  </si>
  <si>
    <t xml:space="preserve">НЕ ПОДТВЕРЖДЕНО</t>
  </si>
  <si>
    <t xml:space="preserve">https://crjm.org/wp-content/uploads/2002/12/Codul-deontologic-avocati.pdf</t>
  </si>
  <si>
    <t xml:space="preserve">Реферальные вознаграждения и white-label НЕ предлагать до заключения (Решение 1)</t>
  </si>
  <si>
    <t xml:space="preserve">MyAccounting: партнёр по бухгалтерии в Кишинёве</t>
  </si>
  <si>
    <t xml:space="preserve">Публичных сведений о компании MyAccounting в Молдове не найдено (поиск 2026-10-08).</t>
  </si>
  <si>
    <t xml:space="preserve">Поиск без результатов</t>
  </si>
  <si>
    <t xml:space="preserve">Реквизиты, юр. форма и договор с LEGITIMUS: [TO CONFIRM] (Решение 3)</t>
  </si>
  <si>
    <t xml:space="preserve">Закон 195/2024 о защите персональных данных действует</t>
  </si>
  <si>
    <t xml:space="preserve">Вступил в силу 23.08.2026, заменил Закон 133/2011; надзор: Национальный центр по защите персональных данных. Источники расходятся в деталях санкций.</t>
  </si>
  <si>
    <t xml:space="preserve">ПОДТВЕРЖДЕНО (Medium)</t>
  </si>
  <si>
    <t xml:space="preserve">https://moldpres.md/eng/society/new-rules-on-personal-data-protection-enter-into-force-in-moldova-as-of-august-23</t>
  </si>
  <si>
    <t xml:space="preserve">Использовать как аргумент для Data Protection; без цифр штрафов</t>
  </si>
  <si>
    <t xml:space="preserve">Переговоры РМ о вступлении в ЕС продвигаются</t>
  </si>
  <si>
    <t xml:space="preserve">Открыты кластер 1 «Fundamentals» (15.06.2026) и кластер 6 «External Relations» (14.07.2026); остальные пока не открыты.</t>
  </si>
  <si>
    <t xml:space="preserve">ПОДТВЕРЖДЕНО (High)</t>
  </si>
  <si>
    <t xml:space="preserve">https://www.consilium.europa.eu/en/policies/moldova</t>
  </si>
  <si>
    <t xml:space="preserve">Аргумент «почему Молдова сейчас»; без прогнозов сроков вступления</t>
  </si>
  <si>
    <t xml:space="preserve">Провайдеры без офиса в Кишинёве используют местного исполнителя</t>
  </si>
  <si>
    <t xml:space="preserve">Логический вывод из данных агента 02 (Accace, BridgeWest, Healy); не подтверждён ими напрямую.</t>
  </si>
  <si>
    <t xml:space="preserve">ASSUMPTION</t>
  </si>
  <si>
    <t xml:space="preserve">research/raw/agent02/final.json</t>
  </si>
  <si>
    <t xml:space="preserve">Формулировать как вопрос в первом контакте</t>
  </si>
  <si>
    <t xml:space="preserve">Клиенты провайдеров из Румынии и Украины интересуются Молдовой</t>
  </si>
  <si>
    <t xml:space="preserve">Не подтверждено данными.</t>
  </si>
  <si>
    <t xml:space="preserve">—</t>
  </si>
  <si>
    <t xml:space="preserve">Задавать вопрос, не утверждать</t>
  </si>
  <si>
    <t xml:space="preserve">Регистрация в ASP требует участия адвоката</t>
  </si>
  <si>
    <t xml:space="preserve">Не подтверждено; не использовать как аргумент.</t>
  </si>
  <si>
    <t xml:space="preserve">Аргумент строить на качестве, ответственности и адвокатской тайне</t>
  </si>
  <si>
    <t xml:space="preserve">#</t>
  </si>
  <si>
    <t xml:space="preserve">Решение</t>
  </si>
  <si>
    <t xml:space="preserve">Суть и почему важно</t>
  </si>
  <si>
    <t xml:space="preserve">Когда нужно</t>
  </si>
  <si>
    <t xml:space="preserve">Что утвердить</t>
  </si>
  <si>
    <t xml:space="preserve">Решение MP</t>
  </si>
  <si>
    <t xml:space="preserve">Этика и коммерческая механика</t>
  </si>
  <si>
    <t xml:space="preserve">Можно ли LEGITIMUS получать и выплачивать реферальные вознаграждения, работать по white-label или субподряду и делить гонорар с неадвокатами (например, Commitbiz публикует ставку 20%). Норма Кодекса этики в открытых источниках не найдена: нужно заключение по Закону об адвокатуре и Кодексу этики или запрос в Союз адвокатов.</t>
  </si>
  <si>
    <t xml:space="preserve">До первого письма Commitbiz, BridgeWest и Healy</t>
  </si>
  <si>
    <t xml:space="preserve">Утвердить механику: (а) только прямой договор с клиентом и партнёрская скидка; (б) субподряд; (в) реферальное вознаграждение, если допустимо</t>
  </si>
  <si>
    <t xml:space="preserve">Partner Rate Card</t>
  </si>
  <si>
    <t xml:space="preserve">Стандартные и партнёрские ставки, размер скидки, минимальный ежемесячный пакет, порядок оплаты государственных пошлин и расходов.</t>
  </si>
  <si>
    <t xml:space="preserve">До пилотов с моделями B и C</t>
  </si>
  <si>
    <t xml:space="preserve">Заполнить жёлтые поля в Partner_Rate_Card_Draft.xlsx</t>
  </si>
  <si>
    <t xml:space="preserve">Объём услуг Desk и MyAccounting</t>
  </si>
  <si>
    <t xml:space="preserve">Какие из 9 направлений LEGITIMUS реально оказывает (M&amp;A, разрешения для иностранцев, юридический адрес, защита данных); языки; срок ответа; ответственный партнёр. MyAccounting: юр. форма, договор (субподряд или прямой), ответственность. Публичных данных о MyAccounting не найдено.</t>
  </si>
  <si>
    <t xml:space="preserve">До рассылки Proposal</t>
  </si>
  <si>
    <t xml:space="preserve">Утвердить или вычеркнуть [TO CONFIRM] в предложении</t>
  </si>
  <si>
    <t xml:space="preserve">Политика приёма клиентов и партнёров (KYC/AML, санкции)</t>
  </si>
  <si>
    <t xml:space="preserve">Готовы ли работать с провайдерами с акцентом на офшоры и готовые компании (BridgeWest, Uniwide) и с теми, у кого есть офис в Москве (Commitbiz). GSL отложен до формальной проверки.</t>
  </si>
  <si>
    <t xml:space="preserve">До контакта с BridgeWest, Uniwide, Commitbiz</t>
  </si>
  <si>
    <t xml:space="preserve">Утвердить критерии приёма и порядок проверки</t>
  </si>
  <si>
    <t xml:space="preserve">Порядок кампании и подписант</t>
  </si>
  <si>
    <t xml:space="preserve">Первая волна: Accace, Healy, BridgeWest, Eurofast, Commitbiz (с учётом решений 1 и 4). Кто подписывает письма; каждое письмо утверждается до отправки; факты сверяются на сайтах (нужен доступ к сайтам).</t>
  </si>
  <si>
    <t xml:space="preserve">До передачи материалов Outreach Agent</t>
  </si>
  <si>
    <t xml:space="preserve">Утвердить список первой волны, подписанта и порядок утверждения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</si>
</sst>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0"/>
  </cols>
  <sheetData>
    <row r="1" customFormat="false" ht="18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30" hidden="false" customHeight="true" outlineLevel="0" collapsed="false">
      <c r="A3" s="2" t="s">
        <v>2</v>
      </c>
      <c r="B3" s="2"/>
      <c r="C3" s="2"/>
      <c r="D3" s="2"/>
      <c r="E3" s="2"/>
      <c r="F3" s="2"/>
    </row>
    <row r="4" customFormat="false" ht="30" hidden="false" customHeight="true" outlineLevel="0" collapsed="false">
      <c r="A4" s="2" t="s">
        <v>3</v>
      </c>
      <c r="B4" s="2"/>
      <c r="C4" s="2"/>
      <c r="D4" s="2"/>
      <c r="E4" s="2"/>
      <c r="F4" s="2"/>
    </row>
    <row r="5" customFormat="false" ht="30" hidden="false" customHeight="true" outlineLevel="0" collapsed="false">
      <c r="A5" s="2"/>
      <c r="B5" s="2"/>
      <c r="C5" s="2"/>
      <c r="D5" s="2"/>
      <c r="E5" s="2"/>
      <c r="F5" s="2"/>
    </row>
    <row r="6" customFormat="false" ht="18" hidden="false" customHeight="true" outlineLevel="0" collapsed="false">
      <c r="A6" s="1" t="s">
        <v>4</v>
      </c>
      <c r="B6" s="1"/>
      <c r="C6" s="1"/>
      <c r="D6" s="1"/>
      <c r="E6" s="1"/>
      <c r="F6" s="1"/>
    </row>
    <row r="7" customFormat="false" ht="15" hidden="false" customHeight="false" outlineLevel="0" collapsed="false">
      <c r="A7" s="3" t="s">
        <v>5</v>
      </c>
      <c r="B7" s="3" t="n">
        <f aca="false">COUNTIF('TOP-10 стратегия'!$E:$E,"A")</f>
        <v>5</v>
      </c>
    </row>
    <row r="8" customFormat="false" ht="15" hidden="false" customHeight="false" outlineLevel="0" collapsed="false">
      <c r="A8" s="3" t="s">
        <v>6</v>
      </c>
      <c r="B8" s="3" t="n">
        <f aca="false">COUNTIF('TOP-10 стратегия'!$E:$E,"B")</f>
        <v>3</v>
      </c>
    </row>
    <row r="9" customFormat="false" ht="15" hidden="false" customHeight="false" outlineLevel="0" collapsed="false">
      <c r="A9" s="3" t="s">
        <v>7</v>
      </c>
      <c r="B9" s="3" t="n">
        <f aca="false">COUNTIF('TOP-10 стратегия'!$E:$E,"C")</f>
        <v>2</v>
      </c>
    </row>
  </sheetData>
  <mergeCells count="6">
    <mergeCell ref="A1:F1"/>
    <mergeCell ref="A2:F2"/>
    <mergeCell ref="A3:F3"/>
    <mergeCell ref="A4:F4"/>
    <mergeCell ref="A5:F5"/>
    <mergeCell ref="A6:F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55"/>
  </cols>
  <sheetData>
    <row r="1" customFormat="false" ht="36" hidden="false" customHeight="true" outlineLevel="0" collapsed="false">
      <c r="A1" s="4" t="s">
        <v>8</v>
      </c>
      <c r="B1" s="4" t="s">
        <v>5</v>
      </c>
      <c r="C1" s="4" t="s">
        <v>6</v>
      </c>
      <c r="D1" s="4" t="s">
        <v>7</v>
      </c>
    </row>
    <row r="2" customFormat="false" ht="46.25" hidden="false" customHeight="false" outlineLevel="0" collapsed="false">
      <c r="A2" s="5" t="s">
        <v>9</v>
      </c>
      <c r="B2" s="6" t="s">
        <v>10</v>
      </c>
      <c r="C2" s="6" t="s">
        <v>11</v>
      </c>
      <c r="D2" s="6" t="s">
        <v>12</v>
      </c>
    </row>
    <row r="3" customFormat="false" ht="46.25" hidden="false" customHeight="false" outlineLevel="0" collapsed="false">
      <c r="A3" s="5" t="s">
        <v>13</v>
      </c>
      <c r="B3" s="6" t="s">
        <v>14</v>
      </c>
      <c r="C3" s="6" t="s">
        <v>15</v>
      </c>
      <c r="D3" s="6" t="s">
        <v>16</v>
      </c>
    </row>
    <row r="4" customFormat="false" ht="91" hidden="false" customHeight="false" outlineLevel="0" collapsed="false">
      <c r="A4" s="5" t="s">
        <v>17</v>
      </c>
      <c r="B4" s="6" t="s">
        <v>18</v>
      </c>
      <c r="C4" s="6" t="s">
        <v>19</v>
      </c>
      <c r="D4" s="6" t="s">
        <v>20</v>
      </c>
    </row>
    <row r="5" customFormat="false" ht="113.4" hidden="false" customHeight="false" outlineLevel="0" collapsed="false">
      <c r="A5" s="5" t="s">
        <v>21</v>
      </c>
      <c r="B5" s="6" t="s">
        <v>22</v>
      </c>
      <c r="C5" s="6" t="s">
        <v>23</v>
      </c>
      <c r="D5" s="6" t="s">
        <v>24</v>
      </c>
    </row>
    <row r="6" customFormat="false" ht="91" hidden="false" customHeight="false" outlineLevel="0" collapsed="false">
      <c r="A6" s="5" t="s">
        <v>25</v>
      </c>
      <c r="B6" s="6" t="s">
        <v>26</v>
      </c>
      <c r="C6" s="6" t="s">
        <v>27</v>
      </c>
      <c r="D6" s="6" t="s">
        <v>28</v>
      </c>
    </row>
    <row r="7" customFormat="false" ht="113.4" hidden="false" customHeight="false" outlineLevel="0" collapsed="false">
      <c r="A7" s="5" t="s">
        <v>29</v>
      </c>
      <c r="B7" s="6" t="s">
        <v>30</v>
      </c>
      <c r="C7" s="6" t="s">
        <v>31</v>
      </c>
      <c r="D7" s="6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5" min="5" style="0" width="7"/>
    <col collapsed="false" customWidth="true" hidden="false" outlineLevel="0" max="7" min="6" style="0" width="45"/>
    <col collapsed="false" customWidth="true" hidden="false" outlineLevel="0" max="8" min="8" style="0" width="30"/>
    <col collapsed="false" customWidth="true" hidden="false" outlineLevel="0" max="9" min="9" style="0" width="40"/>
    <col collapsed="false" customWidth="true" hidden="false" outlineLevel="0" max="10" min="10" style="0" width="45"/>
    <col collapsed="false" customWidth="true" hidden="false" outlineLevel="0" max="11" min="11" style="0" width="40"/>
    <col collapsed="false" customWidth="true" hidden="false" outlineLevel="0" max="12" min="12" style="0" width="45"/>
    <col collapsed="false" customWidth="true" hidden="false" outlineLevel="0" max="13" min="13" style="0" width="60"/>
    <col collapsed="false" customWidth="true" hidden="false" outlineLevel="0" max="14" min="14" style="0" width="45"/>
  </cols>
  <sheetData>
    <row r="1" customFormat="false" ht="36" hidden="false" customHeight="true" outlineLevel="0" collapsed="false">
      <c r="A1" s="4" t="s">
        <v>33</v>
      </c>
      <c r="B1" s="4" t="s">
        <v>34</v>
      </c>
      <c r="C1" s="4" t="s">
        <v>35</v>
      </c>
      <c r="D1" s="4" t="s">
        <v>36</v>
      </c>
      <c r="E1" s="4" t="s">
        <v>37</v>
      </c>
      <c r="F1" s="4" t="s">
        <v>38</v>
      </c>
      <c r="G1" s="4" t="s">
        <v>39</v>
      </c>
      <c r="H1" s="4" t="s">
        <v>40</v>
      </c>
      <c r="I1" s="4" t="s">
        <v>41</v>
      </c>
      <c r="J1" s="4" t="s">
        <v>42</v>
      </c>
      <c r="K1" s="4" t="s">
        <v>43</v>
      </c>
      <c r="L1" s="4" t="s">
        <v>44</v>
      </c>
      <c r="M1" s="4" t="s">
        <v>45</v>
      </c>
      <c r="N1" s="4" t="s">
        <v>46</v>
      </c>
    </row>
    <row r="2" customFormat="false" ht="91" hidden="false" customHeight="false" outlineLevel="0" collapsed="false">
      <c r="A2" s="6" t="n">
        <v>1</v>
      </c>
      <c r="B2" s="6" t="s">
        <v>47</v>
      </c>
      <c r="C2" s="6" t="s">
        <v>48</v>
      </c>
      <c r="D2" s="6" t="n">
        <v>82</v>
      </c>
      <c r="E2" s="6" t="s">
        <v>49</v>
      </c>
      <c r="F2" s="6" t="s">
        <v>50</v>
      </c>
      <c r="G2" s="6" t="s">
        <v>51</v>
      </c>
      <c r="H2" s="6" t="s">
        <v>52</v>
      </c>
      <c r="I2" s="6" t="s">
        <v>53</v>
      </c>
      <c r="J2" s="6" t="s">
        <v>54</v>
      </c>
      <c r="K2" s="6" t="s">
        <v>55</v>
      </c>
      <c r="L2" s="6" t="s">
        <v>56</v>
      </c>
      <c r="M2" s="6" t="s">
        <v>57</v>
      </c>
      <c r="N2" s="6" t="s">
        <v>58</v>
      </c>
    </row>
    <row r="3" customFormat="false" ht="91" hidden="false" customHeight="false" outlineLevel="0" collapsed="false">
      <c r="A3" s="6" t="n">
        <v>2</v>
      </c>
      <c r="B3" s="6" t="s">
        <v>59</v>
      </c>
      <c r="C3" s="6" t="s">
        <v>48</v>
      </c>
      <c r="D3" s="6" t="n">
        <v>76</v>
      </c>
      <c r="E3" s="6" t="s">
        <v>60</v>
      </c>
      <c r="F3" s="6" t="s">
        <v>61</v>
      </c>
      <c r="G3" s="6" t="s">
        <v>62</v>
      </c>
      <c r="H3" s="6" t="s">
        <v>63</v>
      </c>
      <c r="I3" s="6" t="s">
        <v>64</v>
      </c>
      <c r="J3" s="6" t="s">
        <v>65</v>
      </c>
      <c r="K3" s="6" t="s">
        <v>66</v>
      </c>
      <c r="L3" s="6" t="s">
        <v>67</v>
      </c>
      <c r="M3" s="6" t="s">
        <v>68</v>
      </c>
      <c r="N3" s="6" t="s">
        <v>69</v>
      </c>
    </row>
    <row r="4" customFormat="false" ht="68.65" hidden="false" customHeight="false" outlineLevel="0" collapsed="false">
      <c r="A4" s="6" t="n">
        <v>3</v>
      </c>
      <c r="B4" s="6" t="s">
        <v>70</v>
      </c>
      <c r="C4" s="6" t="s">
        <v>48</v>
      </c>
      <c r="D4" s="6" t="n">
        <v>75</v>
      </c>
      <c r="E4" s="6" t="s">
        <v>49</v>
      </c>
      <c r="F4" s="6" t="s">
        <v>71</v>
      </c>
      <c r="G4" s="6" t="s">
        <v>72</v>
      </c>
      <c r="H4" s="6" t="s">
        <v>52</v>
      </c>
      <c r="I4" s="6" t="s">
        <v>73</v>
      </c>
      <c r="J4" s="6" t="s">
        <v>74</v>
      </c>
      <c r="K4" s="6" t="s">
        <v>75</v>
      </c>
      <c r="L4" s="6" t="s">
        <v>76</v>
      </c>
      <c r="M4" s="6" t="s">
        <v>77</v>
      </c>
      <c r="N4" s="6" t="s">
        <v>78</v>
      </c>
    </row>
    <row r="5" customFormat="false" ht="68.65" hidden="false" customHeight="false" outlineLevel="0" collapsed="false">
      <c r="A5" s="6" t="n">
        <v>4</v>
      </c>
      <c r="B5" s="6" t="s">
        <v>79</v>
      </c>
      <c r="C5" s="6" t="s">
        <v>48</v>
      </c>
      <c r="D5" s="6" t="n">
        <v>74</v>
      </c>
      <c r="E5" s="6" t="s">
        <v>49</v>
      </c>
      <c r="F5" s="6" t="s">
        <v>80</v>
      </c>
      <c r="G5" s="6" t="s">
        <v>81</v>
      </c>
      <c r="H5" s="6" t="s">
        <v>52</v>
      </c>
      <c r="I5" s="6" t="s">
        <v>82</v>
      </c>
      <c r="J5" s="6" t="s">
        <v>83</v>
      </c>
      <c r="K5" s="6" t="s">
        <v>84</v>
      </c>
      <c r="L5" s="6" t="s">
        <v>85</v>
      </c>
      <c r="M5" s="6" t="s">
        <v>86</v>
      </c>
      <c r="N5" s="6" t="s">
        <v>87</v>
      </c>
    </row>
    <row r="6" customFormat="false" ht="68.65" hidden="false" customHeight="false" outlineLevel="0" collapsed="false">
      <c r="A6" s="6" t="n">
        <v>5</v>
      </c>
      <c r="B6" s="6" t="s">
        <v>88</v>
      </c>
      <c r="C6" s="6" t="s">
        <v>48</v>
      </c>
      <c r="D6" s="6" t="n">
        <v>70</v>
      </c>
      <c r="E6" s="6" t="s">
        <v>60</v>
      </c>
      <c r="F6" s="6" t="s">
        <v>89</v>
      </c>
      <c r="G6" s="6" t="s">
        <v>90</v>
      </c>
      <c r="H6" s="6" t="s">
        <v>63</v>
      </c>
      <c r="I6" s="6" t="s">
        <v>91</v>
      </c>
      <c r="J6" s="6" t="s">
        <v>92</v>
      </c>
      <c r="K6" s="6" t="s">
        <v>93</v>
      </c>
      <c r="L6" s="6" t="s">
        <v>94</v>
      </c>
      <c r="M6" s="6" t="s">
        <v>95</v>
      </c>
      <c r="N6" s="6" t="s">
        <v>96</v>
      </c>
    </row>
    <row r="7" customFormat="false" ht="68.65" hidden="false" customHeight="false" outlineLevel="0" collapsed="false">
      <c r="A7" s="6" t="n">
        <v>6</v>
      </c>
      <c r="B7" s="6" t="s">
        <v>97</v>
      </c>
      <c r="C7" s="6" t="s">
        <v>98</v>
      </c>
      <c r="D7" s="6" t="n">
        <v>69</v>
      </c>
      <c r="E7" s="6" t="s">
        <v>60</v>
      </c>
      <c r="F7" s="6" t="s">
        <v>99</v>
      </c>
      <c r="G7" s="6" t="s">
        <v>100</v>
      </c>
      <c r="H7" s="6" t="s">
        <v>63</v>
      </c>
      <c r="I7" s="6" t="s">
        <v>101</v>
      </c>
      <c r="J7" s="6" t="s">
        <v>102</v>
      </c>
      <c r="K7" s="6" t="s">
        <v>103</v>
      </c>
      <c r="L7" s="6" t="s">
        <v>104</v>
      </c>
      <c r="M7" s="6" t="s">
        <v>105</v>
      </c>
      <c r="N7" s="6" t="s">
        <v>106</v>
      </c>
    </row>
    <row r="8" customFormat="false" ht="102.2" hidden="false" customHeight="false" outlineLevel="0" collapsed="false">
      <c r="A8" s="6" t="n">
        <v>7</v>
      </c>
      <c r="B8" s="6" t="s">
        <v>107</v>
      </c>
      <c r="C8" s="6" t="s">
        <v>98</v>
      </c>
      <c r="D8" s="6" t="n">
        <v>67</v>
      </c>
      <c r="E8" s="6" t="s">
        <v>108</v>
      </c>
      <c r="F8" s="6" t="s">
        <v>109</v>
      </c>
      <c r="G8" s="6" t="s">
        <v>110</v>
      </c>
      <c r="H8" s="6" t="s">
        <v>111</v>
      </c>
      <c r="I8" s="6" t="s">
        <v>112</v>
      </c>
      <c r="J8" s="6" t="s">
        <v>113</v>
      </c>
      <c r="K8" s="6" t="s">
        <v>114</v>
      </c>
      <c r="L8" s="6" t="s">
        <v>115</v>
      </c>
      <c r="M8" s="6" t="s">
        <v>116</v>
      </c>
      <c r="N8" s="6" t="s">
        <v>117</v>
      </c>
    </row>
    <row r="9" customFormat="false" ht="68.65" hidden="false" customHeight="false" outlineLevel="0" collapsed="false">
      <c r="A9" s="6" t="n">
        <v>8</v>
      </c>
      <c r="B9" s="6" t="s">
        <v>118</v>
      </c>
      <c r="C9" s="6" t="s">
        <v>98</v>
      </c>
      <c r="D9" s="6" t="n">
        <v>60</v>
      </c>
      <c r="E9" s="6" t="s">
        <v>60</v>
      </c>
      <c r="F9" s="6" t="s">
        <v>119</v>
      </c>
      <c r="G9" s="6" t="s">
        <v>120</v>
      </c>
      <c r="H9" s="6" t="s">
        <v>63</v>
      </c>
      <c r="I9" s="6" t="s">
        <v>121</v>
      </c>
      <c r="J9" s="6" t="s">
        <v>122</v>
      </c>
      <c r="K9" s="6" t="s">
        <v>123</v>
      </c>
      <c r="L9" s="6" t="s">
        <v>124</v>
      </c>
      <c r="M9" s="6" t="s">
        <v>125</v>
      </c>
      <c r="N9" s="6" t="s">
        <v>126</v>
      </c>
    </row>
    <row r="10" customFormat="false" ht="102.2" hidden="false" customHeight="false" outlineLevel="0" collapsed="false">
      <c r="A10" s="6" t="n">
        <v>9</v>
      </c>
      <c r="B10" s="6" t="s">
        <v>127</v>
      </c>
      <c r="C10" s="6" t="s">
        <v>98</v>
      </c>
      <c r="D10" s="6" t="n">
        <v>59</v>
      </c>
      <c r="E10" s="6" t="s">
        <v>108</v>
      </c>
      <c r="F10" s="6" t="s">
        <v>128</v>
      </c>
      <c r="G10" s="6" t="s">
        <v>129</v>
      </c>
      <c r="H10" s="6" t="s">
        <v>111</v>
      </c>
      <c r="I10" s="6" t="s">
        <v>130</v>
      </c>
      <c r="J10" s="6" t="s">
        <v>131</v>
      </c>
      <c r="K10" s="6" t="s">
        <v>132</v>
      </c>
      <c r="L10" s="6" t="s">
        <v>133</v>
      </c>
      <c r="M10" s="6" t="s">
        <v>134</v>
      </c>
      <c r="N10" s="6" t="s">
        <v>135</v>
      </c>
    </row>
    <row r="11" customFormat="false" ht="68.65" hidden="false" customHeight="false" outlineLevel="0" collapsed="false">
      <c r="A11" s="6" t="n">
        <v>10</v>
      </c>
      <c r="B11" s="6" t="s">
        <v>136</v>
      </c>
      <c r="C11" s="6" t="s">
        <v>98</v>
      </c>
      <c r="D11" s="6" t="n">
        <v>59</v>
      </c>
      <c r="E11" s="6" t="s">
        <v>60</v>
      </c>
      <c r="F11" s="6" t="s">
        <v>137</v>
      </c>
      <c r="G11" s="6" t="s">
        <v>138</v>
      </c>
      <c r="H11" s="6" t="s">
        <v>63</v>
      </c>
      <c r="I11" s="6" t="s">
        <v>139</v>
      </c>
      <c r="J11" s="6" t="s">
        <v>140</v>
      </c>
      <c r="K11" s="6" t="s">
        <v>141</v>
      </c>
      <c r="L11" s="6" t="s">
        <v>142</v>
      </c>
      <c r="M11" s="6" t="s">
        <v>143</v>
      </c>
      <c r="N11" s="6" t="s">
        <v>144</v>
      </c>
    </row>
  </sheetData>
  <autoFilter ref="A1:N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7"/>
    <col collapsed="false" customWidth="true" hidden="false" outlineLevel="0" max="3" min="3" style="0" width="50"/>
    <col collapsed="false" customWidth="true" hidden="false" outlineLevel="0" max="4" min="4" style="0" width="70"/>
  </cols>
  <sheetData>
    <row r="1" customFormat="false" ht="36" hidden="false" customHeight="true" outlineLevel="0" collapsed="false">
      <c r="A1" s="4" t="s">
        <v>34</v>
      </c>
      <c r="B1" s="4" t="s">
        <v>37</v>
      </c>
      <c r="C1" s="4" t="s">
        <v>145</v>
      </c>
      <c r="D1" s="4" t="s">
        <v>146</v>
      </c>
    </row>
    <row r="2" customFormat="false" ht="23.85" hidden="false" customHeight="false" outlineLevel="0" collapsed="false">
      <c r="A2" s="6" t="s">
        <v>47</v>
      </c>
      <c r="B2" s="6" t="s">
        <v>49</v>
      </c>
      <c r="C2" s="6" t="s">
        <v>147</v>
      </c>
      <c r="D2" s="6" t="s">
        <v>148</v>
      </c>
    </row>
    <row r="3" customFormat="false" ht="23.85" hidden="false" customHeight="false" outlineLevel="0" collapsed="false">
      <c r="A3" s="6" t="s">
        <v>47</v>
      </c>
      <c r="B3" s="6" t="s">
        <v>49</v>
      </c>
      <c r="C3" s="6" t="s">
        <v>149</v>
      </c>
      <c r="D3" s="6" t="s">
        <v>150</v>
      </c>
    </row>
    <row r="4" customFormat="false" ht="15" hidden="false" customHeight="false" outlineLevel="0" collapsed="false">
      <c r="A4" s="6" t="s">
        <v>47</v>
      </c>
      <c r="B4" s="6" t="s">
        <v>49</v>
      </c>
      <c r="C4" s="6" t="s">
        <v>151</v>
      </c>
      <c r="D4" s="6" t="s">
        <v>152</v>
      </c>
    </row>
    <row r="5" customFormat="false" ht="23.85" hidden="false" customHeight="false" outlineLevel="0" collapsed="false">
      <c r="A5" s="6" t="s">
        <v>59</v>
      </c>
      <c r="B5" s="6" t="s">
        <v>60</v>
      </c>
      <c r="C5" s="6" t="s">
        <v>153</v>
      </c>
      <c r="D5" s="6" t="s">
        <v>154</v>
      </c>
    </row>
    <row r="6" customFormat="false" ht="23.85" hidden="false" customHeight="false" outlineLevel="0" collapsed="false">
      <c r="A6" s="6" t="s">
        <v>59</v>
      </c>
      <c r="B6" s="6" t="s">
        <v>60</v>
      </c>
      <c r="C6" s="6" t="s">
        <v>155</v>
      </c>
      <c r="D6" s="6" t="s">
        <v>156</v>
      </c>
    </row>
    <row r="7" customFormat="false" ht="15" hidden="false" customHeight="false" outlineLevel="0" collapsed="false">
      <c r="A7" s="6" t="s">
        <v>59</v>
      </c>
      <c r="B7" s="6" t="s">
        <v>60</v>
      </c>
      <c r="C7" s="6" t="s">
        <v>157</v>
      </c>
      <c r="D7" s="6" t="s">
        <v>158</v>
      </c>
    </row>
    <row r="8" customFormat="false" ht="23.85" hidden="false" customHeight="false" outlineLevel="0" collapsed="false">
      <c r="A8" s="6" t="s">
        <v>70</v>
      </c>
      <c r="B8" s="6" t="s">
        <v>49</v>
      </c>
      <c r="C8" s="6" t="s">
        <v>159</v>
      </c>
      <c r="D8" s="6" t="s">
        <v>160</v>
      </c>
    </row>
    <row r="9" customFormat="false" ht="23.85" hidden="false" customHeight="false" outlineLevel="0" collapsed="false">
      <c r="A9" s="6" t="s">
        <v>70</v>
      </c>
      <c r="B9" s="6" t="s">
        <v>49</v>
      </c>
      <c r="C9" s="6" t="s">
        <v>161</v>
      </c>
      <c r="D9" s="6" t="s">
        <v>162</v>
      </c>
    </row>
    <row r="10" customFormat="false" ht="23.85" hidden="false" customHeight="false" outlineLevel="0" collapsed="false">
      <c r="A10" s="6" t="s">
        <v>70</v>
      </c>
      <c r="B10" s="6" t="s">
        <v>49</v>
      </c>
      <c r="C10" s="6" t="s">
        <v>163</v>
      </c>
      <c r="D10" s="6" t="s">
        <v>164</v>
      </c>
    </row>
    <row r="11" customFormat="false" ht="23.85" hidden="false" customHeight="false" outlineLevel="0" collapsed="false">
      <c r="A11" s="6" t="s">
        <v>79</v>
      </c>
      <c r="B11" s="6" t="s">
        <v>49</v>
      </c>
      <c r="C11" s="6" t="s">
        <v>165</v>
      </c>
      <c r="D11" s="6" t="s">
        <v>166</v>
      </c>
    </row>
    <row r="12" customFormat="false" ht="23.85" hidden="false" customHeight="false" outlineLevel="0" collapsed="false">
      <c r="A12" s="6" t="s">
        <v>79</v>
      </c>
      <c r="B12" s="6" t="s">
        <v>49</v>
      </c>
      <c r="C12" s="6" t="s">
        <v>167</v>
      </c>
      <c r="D12" s="6" t="s">
        <v>168</v>
      </c>
    </row>
    <row r="13" customFormat="false" ht="23.85" hidden="false" customHeight="false" outlineLevel="0" collapsed="false">
      <c r="A13" s="6" t="s">
        <v>79</v>
      </c>
      <c r="B13" s="6" t="s">
        <v>49</v>
      </c>
      <c r="C13" s="6" t="s">
        <v>169</v>
      </c>
      <c r="D13" s="6" t="s">
        <v>170</v>
      </c>
    </row>
    <row r="14" customFormat="false" ht="23.85" hidden="false" customHeight="false" outlineLevel="0" collapsed="false">
      <c r="A14" s="6" t="s">
        <v>88</v>
      </c>
      <c r="B14" s="6" t="s">
        <v>60</v>
      </c>
      <c r="C14" s="6" t="s">
        <v>171</v>
      </c>
      <c r="D14" s="6" t="s">
        <v>172</v>
      </c>
    </row>
    <row r="15" customFormat="false" ht="15" hidden="false" customHeight="false" outlineLevel="0" collapsed="false">
      <c r="A15" s="6" t="s">
        <v>88</v>
      </c>
      <c r="B15" s="6" t="s">
        <v>60</v>
      </c>
      <c r="C15" s="6" t="s">
        <v>173</v>
      </c>
      <c r="D15" s="6" t="s">
        <v>174</v>
      </c>
    </row>
    <row r="16" customFormat="false" ht="15" hidden="false" customHeight="false" outlineLevel="0" collapsed="false">
      <c r="A16" s="6" t="s">
        <v>88</v>
      </c>
      <c r="B16" s="6" t="s">
        <v>60</v>
      </c>
      <c r="C16" s="6" t="s">
        <v>175</v>
      </c>
      <c r="D16" s="6" t="s">
        <v>176</v>
      </c>
    </row>
    <row r="17" customFormat="false" ht="15" hidden="false" customHeight="false" outlineLevel="0" collapsed="false">
      <c r="A17" s="6" t="s">
        <v>97</v>
      </c>
      <c r="B17" s="6" t="s">
        <v>60</v>
      </c>
      <c r="C17" s="6" t="s">
        <v>177</v>
      </c>
      <c r="D17" s="6" t="s">
        <v>178</v>
      </c>
    </row>
    <row r="18" customFormat="false" ht="23.85" hidden="false" customHeight="false" outlineLevel="0" collapsed="false">
      <c r="A18" s="6" t="s">
        <v>97</v>
      </c>
      <c r="B18" s="6" t="s">
        <v>60</v>
      </c>
      <c r="C18" s="6" t="s">
        <v>179</v>
      </c>
      <c r="D18" s="6" t="s">
        <v>180</v>
      </c>
    </row>
    <row r="19" customFormat="false" ht="15" hidden="false" customHeight="false" outlineLevel="0" collapsed="false">
      <c r="A19" s="6" t="s">
        <v>97</v>
      </c>
      <c r="B19" s="6" t="s">
        <v>60</v>
      </c>
      <c r="C19" s="6" t="s">
        <v>175</v>
      </c>
      <c r="D19" s="6" t="s">
        <v>181</v>
      </c>
    </row>
    <row r="20" customFormat="false" ht="15" hidden="false" customHeight="false" outlineLevel="0" collapsed="false">
      <c r="A20" s="6" t="s">
        <v>107</v>
      </c>
      <c r="B20" s="6" t="s">
        <v>108</v>
      </c>
      <c r="C20" s="6" t="s">
        <v>182</v>
      </c>
      <c r="D20" s="6" t="s">
        <v>183</v>
      </c>
    </row>
    <row r="21" customFormat="false" ht="23.85" hidden="false" customHeight="false" outlineLevel="0" collapsed="false">
      <c r="A21" s="6" t="s">
        <v>107</v>
      </c>
      <c r="B21" s="6" t="s">
        <v>108</v>
      </c>
      <c r="C21" s="6" t="s">
        <v>184</v>
      </c>
      <c r="D21" s="6" t="s">
        <v>185</v>
      </c>
    </row>
    <row r="22" customFormat="false" ht="15" hidden="false" customHeight="false" outlineLevel="0" collapsed="false">
      <c r="A22" s="6" t="s">
        <v>107</v>
      </c>
      <c r="B22" s="6" t="s">
        <v>108</v>
      </c>
      <c r="C22" s="6" t="s">
        <v>186</v>
      </c>
      <c r="D22" s="6" t="s">
        <v>187</v>
      </c>
    </row>
    <row r="23" customFormat="false" ht="15" hidden="false" customHeight="false" outlineLevel="0" collapsed="false">
      <c r="A23" s="6" t="s">
        <v>118</v>
      </c>
      <c r="B23" s="6" t="s">
        <v>60</v>
      </c>
      <c r="C23" s="6" t="s">
        <v>188</v>
      </c>
      <c r="D23" s="6" t="s">
        <v>189</v>
      </c>
    </row>
    <row r="24" customFormat="false" ht="15" hidden="false" customHeight="false" outlineLevel="0" collapsed="false">
      <c r="A24" s="6" t="s">
        <v>118</v>
      </c>
      <c r="B24" s="6" t="s">
        <v>60</v>
      </c>
      <c r="C24" s="6" t="s">
        <v>190</v>
      </c>
      <c r="D24" s="6" t="s">
        <v>191</v>
      </c>
    </row>
    <row r="25" customFormat="false" ht="15" hidden="false" customHeight="false" outlineLevel="0" collapsed="false">
      <c r="A25" s="6" t="s">
        <v>118</v>
      </c>
      <c r="B25" s="6" t="s">
        <v>60</v>
      </c>
      <c r="C25" s="6" t="s">
        <v>192</v>
      </c>
      <c r="D25" s="6" t="s">
        <v>193</v>
      </c>
    </row>
    <row r="26" customFormat="false" ht="23.85" hidden="false" customHeight="false" outlineLevel="0" collapsed="false">
      <c r="A26" s="6" t="s">
        <v>127</v>
      </c>
      <c r="B26" s="6" t="s">
        <v>108</v>
      </c>
      <c r="C26" s="6" t="s">
        <v>194</v>
      </c>
      <c r="D26" s="6" t="s">
        <v>195</v>
      </c>
    </row>
    <row r="27" customFormat="false" ht="23.85" hidden="false" customHeight="false" outlineLevel="0" collapsed="false">
      <c r="A27" s="6" t="s">
        <v>127</v>
      </c>
      <c r="B27" s="6" t="s">
        <v>108</v>
      </c>
      <c r="C27" s="6" t="s">
        <v>196</v>
      </c>
      <c r="D27" s="6" t="s">
        <v>197</v>
      </c>
    </row>
    <row r="28" customFormat="false" ht="23.85" hidden="false" customHeight="false" outlineLevel="0" collapsed="false">
      <c r="A28" s="6" t="s">
        <v>127</v>
      </c>
      <c r="B28" s="6" t="s">
        <v>108</v>
      </c>
      <c r="C28" s="6" t="s">
        <v>198</v>
      </c>
      <c r="D28" s="6" t="s">
        <v>199</v>
      </c>
    </row>
    <row r="29" customFormat="false" ht="23.85" hidden="false" customHeight="false" outlineLevel="0" collapsed="false">
      <c r="A29" s="6" t="s">
        <v>136</v>
      </c>
      <c r="B29" s="6" t="s">
        <v>60</v>
      </c>
      <c r="C29" s="6" t="s">
        <v>200</v>
      </c>
      <c r="D29" s="6" t="s">
        <v>201</v>
      </c>
    </row>
    <row r="30" customFormat="false" ht="15" hidden="false" customHeight="false" outlineLevel="0" collapsed="false">
      <c r="A30" s="6" t="s">
        <v>136</v>
      </c>
      <c r="B30" s="6" t="s">
        <v>60</v>
      </c>
      <c r="C30" s="6" t="s">
        <v>202</v>
      </c>
      <c r="D30" s="6" t="s">
        <v>203</v>
      </c>
    </row>
    <row r="31" customFormat="false" ht="15" hidden="false" customHeight="false" outlineLevel="0" collapsed="false">
      <c r="A31" s="6" t="s">
        <v>136</v>
      </c>
      <c r="B31" s="6" t="s">
        <v>60</v>
      </c>
      <c r="C31" s="6" t="s">
        <v>204</v>
      </c>
      <c r="D31" s="6" t="s">
        <v>205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4"/>
    <col collapsed="false" customWidth="true" hidden="false" outlineLevel="0" max="3" min="3" style="0" width="7"/>
    <col collapsed="false" customWidth="true" hidden="false" outlineLevel="0" max="4" min="4" style="0" width="40"/>
    <col collapsed="false" customWidth="true" hidden="false" outlineLevel="0" max="5" min="5" style="0" width="38"/>
    <col collapsed="false" customWidth="true" hidden="false" outlineLevel="0" max="6" min="6" style="0" width="70"/>
    <col collapsed="false" customWidth="true" hidden="false" outlineLevel="0" max="7" min="7" style="0" width="50"/>
    <col collapsed="false" customWidth="true" hidden="false" outlineLevel="0" max="8" min="8" style="0" width="45"/>
    <col collapsed="false" customWidth="true" hidden="false" outlineLevel="0" max="9" min="9" style="0" width="30"/>
    <col collapsed="false" customWidth="true" hidden="false" outlineLevel="0" max="11" min="10" style="0" width="40"/>
    <col collapsed="false" customWidth="true" hidden="false" outlineLevel="0" max="12" min="12" style="0" width="60"/>
    <col collapsed="false" customWidth="true" hidden="false" outlineLevel="0" max="13" min="13" style="0" width="16"/>
  </cols>
  <sheetData>
    <row r="1" customFormat="false" ht="36" hidden="false" customHeight="true" outlineLevel="0" collapsed="false">
      <c r="A1" s="4" t="s">
        <v>34</v>
      </c>
      <c r="B1" s="4" t="s">
        <v>206</v>
      </c>
      <c r="C1" s="4" t="s">
        <v>37</v>
      </c>
      <c r="D1" s="4" t="s">
        <v>207</v>
      </c>
      <c r="E1" s="4" t="s">
        <v>208</v>
      </c>
      <c r="F1" s="4" t="s">
        <v>209</v>
      </c>
      <c r="G1" s="4" t="s">
        <v>210</v>
      </c>
      <c r="H1" s="4" t="s">
        <v>211</v>
      </c>
      <c r="I1" s="4" t="s">
        <v>212</v>
      </c>
      <c r="J1" s="4" t="s">
        <v>213</v>
      </c>
      <c r="K1" s="4" t="s">
        <v>214</v>
      </c>
      <c r="L1" s="4" t="s">
        <v>215</v>
      </c>
      <c r="M1" s="4" t="s">
        <v>216</v>
      </c>
    </row>
    <row r="2" customFormat="false" ht="169.4" hidden="false" customHeight="false" outlineLevel="0" collapsed="false">
      <c r="A2" s="6" t="s">
        <v>47</v>
      </c>
      <c r="B2" s="6" t="s">
        <v>217</v>
      </c>
      <c r="C2" s="6" t="s">
        <v>49</v>
      </c>
      <c r="D2" s="6" t="s">
        <v>218</v>
      </c>
      <c r="E2" s="6" t="s">
        <v>219</v>
      </c>
      <c r="F2" s="6" t="s">
        <v>220</v>
      </c>
      <c r="G2" s="6" t="s">
        <v>54</v>
      </c>
      <c r="H2" s="6" t="s">
        <v>56</v>
      </c>
      <c r="I2" s="6" t="s">
        <v>221</v>
      </c>
      <c r="J2" s="6" t="s">
        <v>222</v>
      </c>
      <c r="K2" s="6" t="s">
        <v>223</v>
      </c>
      <c r="L2" s="6" t="s">
        <v>224</v>
      </c>
      <c r="M2" s="6" t="s">
        <v>225</v>
      </c>
    </row>
    <row r="3" customFormat="false" ht="214.15" hidden="false" customHeight="false" outlineLevel="0" collapsed="false">
      <c r="A3" s="6" t="s">
        <v>59</v>
      </c>
      <c r="B3" s="6" t="s">
        <v>226</v>
      </c>
      <c r="C3" s="6" t="s">
        <v>60</v>
      </c>
      <c r="D3" s="6" t="s">
        <v>227</v>
      </c>
      <c r="E3" s="6" t="s">
        <v>228</v>
      </c>
      <c r="F3" s="6" t="s">
        <v>229</v>
      </c>
      <c r="G3" s="6" t="s">
        <v>65</v>
      </c>
      <c r="H3" s="6" t="s">
        <v>67</v>
      </c>
      <c r="I3" s="6" t="s">
        <v>230</v>
      </c>
      <c r="J3" s="6" t="s">
        <v>231</v>
      </c>
      <c r="K3" s="6" t="s">
        <v>232</v>
      </c>
      <c r="L3" s="6" t="s">
        <v>233</v>
      </c>
      <c r="M3" s="6" t="s">
        <v>225</v>
      </c>
    </row>
    <row r="4" customFormat="false" ht="247.75" hidden="false" customHeight="false" outlineLevel="0" collapsed="false">
      <c r="A4" s="6" t="s">
        <v>70</v>
      </c>
      <c r="B4" s="6" t="s">
        <v>234</v>
      </c>
      <c r="C4" s="6" t="s">
        <v>49</v>
      </c>
      <c r="D4" s="6" t="s">
        <v>235</v>
      </c>
      <c r="E4" s="6" t="s">
        <v>236</v>
      </c>
      <c r="F4" s="6" t="s">
        <v>237</v>
      </c>
      <c r="G4" s="6" t="s">
        <v>74</v>
      </c>
      <c r="H4" s="6" t="s">
        <v>76</v>
      </c>
      <c r="I4" s="6" t="s">
        <v>238</v>
      </c>
      <c r="J4" s="6" t="s">
        <v>239</v>
      </c>
      <c r="K4" s="6" t="s">
        <v>240</v>
      </c>
      <c r="L4" s="6" t="s">
        <v>241</v>
      </c>
      <c r="M4" s="6" t="s">
        <v>225</v>
      </c>
    </row>
    <row r="5" customFormat="false" ht="202.95" hidden="false" customHeight="false" outlineLevel="0" collapsed="false">
      <c r="A5" s="6" t="s">
        <v>79</v>
      </c>
      <c r="B5" s="6" t="s">
        <v>242</v>
      </c>
      <c r="C5" s="6" t="s">
        <v>49</v>
      </c>
      <c r="D5" s="6" t="s">
        <v>243</v>
      </c>
      <c r="E5" s="6" t="s">
        <v>244</v>
      </c>
      <c r="F5" s="6" t="s">
        <v>245</v>
      </c>
      <c r="G5" s="6" t="s">
        <v>83</v>
      </c>
      <c r="H5" s="6" t="s">
        <v>85</v>
      </c>
      <c r="I5" s="6" t="s">
        <v>246</v>
      </c>
      <c r="J5" s="6" t="s">
        <v>247</v>
      </c>
      <c r="K5" s="6" t="s">
        <v>248</v>
      </c>
      <c r="L5" s="6" t="s">
        <v>249</v>
      </c>
      <c r="M5" s="6" t="s">
        <v>225</v>
      </c>
    </row>
    <row r="6" customFormat="false" ht="169.4" hidden="false" customHeight="false" outlineLevel="0" collapsed="false">
      <c r="A6" s="6" t="s">
        <v>88</v>
      </c>
      <c r="B6" s="6" t="s">
        <v>250</v>
      </c>
      <c r="C6" s="6" t="s">
        <v>60</v>
      </c>
      <c r="D6" s="6" t="s">
        <v>251</v>
      </c>
      <c r="E6" s="6" t="s">
        <v>252</v>
      </c>
      <c r="F6" s="6" t="s">
        <v>253</v>
      </c>
      <c r="G6" s="6" t="s">
        <v>92</v>
      </c>
      <c r="H6" s="6" t="s">
        <v>94</v>
      </c>
      <c r="I6" s="6" t="s">
        <v>254</v>
      </c>
      <c r="J6" s="6" t="s">
        <v>255</v>
      </c>
      <c r="K6" s="6" t="s">
        <v>256</v>
      </c>
      <c r="L6" s="6" t="s">
        <v>257</v>
      </c>
      <c r="M6" s="6" t="s">
        <v>225</v>
      </c>
    </row>
    <row r="7" customFormat="false" ht="214.15" hidden="false" customHeight="false" outlineLevel="0" collapsed="false">
      <c r="A7" s="6" t="s">
        <v>97</v>
      </c>
      <c r="B7" s="6" t="s">
        <v>258</v>
      </c>
      <c r="C7" s="6" t="s">
        <v>60</v>
      </c>
      <c r="D7" s="6" t="s">
        <v>259</v>
      </c>
      <c r="E7" s="6" t="s">
        <v>260</v>
      </c>
      <c r="F7" s="6" t="s">
        <v>261</v>
      </c>
      <c r="G7" s="6" t="s">
        <v>102</v>
      </c>
      <c r="H7" s="6" t="s">
        <v>104</v>
      </c>
      <c r="I7" s="6" t="s">
        <v>262</v>
      </c>
      <c r="J7" s="6" t="s">
        <v>263</v>
      </c>
      <c r="K7" s="6" t="s">
        <v>264</v>
      </c>
      <c r="L7" s="6" t="s">
        <v>265</v>
      </c>
      <c r="M7" s="6" t="s">
        <v>225</v>
      </c>
    </row>
    <row r="8" customFormat="false" ht="158.2" hidden="false" customHeight="false" outlineLevel="0" collapsed="false">
      <c r="A8" s="6" t="s">
        <v>107</v>
      </c>
      <c r="B8" s="6" t="s">
        <v>266</v>
      </c>
      <c r="C8" s="6" t="s">
        <v>108</v>
      </c>
      <c r="D8" s="6" t="s">
        <v>267</v>
      </c>
      <c r="E8" s="6" t="s">
        <v>268</v>
      </c>
      <c r="F8" s="6" t="s">
        <v>269</v>
      </c>
      <c r="G8" s="6" t="s">
        <v>113</v>
      </c>
      <c r="H8" s="6" t="s">
        <v>115</v>
      </c>
      <c r="I8" s="6" t="s">
        <v>270</v>
      </c>
      <c r="J8" s="6" t="s">
        <v>271</v>
      </c>
      <c r="K8" s="6" t="s">
        <v>272</v>
      </c>
      <c r="L8" s="6" t="s">
        <v>273</v>
      </c>
      <c r="M8" s="6" t="s">
        <v>225</v>
      </c>
    </row>
    <row r="9" customFormat="false" ht="169.4" hidden="false" customHeight="false" outlineLevel="0" collapsed="false">
      <c r="A9" s="6" t="s">
        <v>118</v>
      </c>
      <c r="B9" s="6" t="s">
        <v>274</v>
      </c>
      <c r="C9" s="6" t="s">
        <v>60</v>
      </c>
      <c r="D9" s="6" t="s">
        <v>275</v>
      </c>
      <c r="E9" s="6" t="s">
        <v>276</v>
      </c>
      <c r="F9" s="6" t="s">
        <v>277</v>
      </c>
      <c r="G9" s="6" t="s">
        <v>122</v>
      </c>
      <c r="H9" s="6" t="s">
        <v>124</v>
      </c>
      <c r="I9" s="6" t="s">
        <v>278</v>
      </c>
      <c r="J9" s="6" t="s">
        <v>279</v>
      </c>
      <c r="K9" s="6" t="s">
        <v>280</v>
      </c>
      <c r="L9" s="6" t="s">
        <v>281</v>
      </c>
      <c r="M9" s="6" t="s">
        <v>225</v>
      </c>
    </row>
    <row r="10" customFormat="false" ht="191.75" hidden="false" customHeight="false" outlineLevel="0" collapsed="false">
      <c r="A10" s="6" t="s">
        <v>127</v>
      </c>
      <c r="B10" s="6" t="s">
        <v>282</v>
      </c>
      <c r="C10" s="6" t="s">
        <v>108</v>
      </c>
      <c r="D10" s="6" t="s">
        <v>283</v>
      </c>
      <c r="E10" s="6" t="s">
        <v>284</v>
      </c>
      <c r="F10" s="6" t="s">
        <v>285</v>
      </c>
      <c r="G10" s="6" t="s">
        <v>131</v>
      </c>
      <c r="H10" s="6" t="s">
        <v>133</v>
      </c>
      <c r="I10" s="6" t="s">
        <v>286</v>
      </c>
      <c r="J10" s="6" t="s">
        <v>287</v>
      </c>
      <c r="K10" s="6" t="s">
        <v>288</v>
      </c>
      <c r="L10" s="6" t="s">
        <v>289</v>
      </c>
      <c r="M10" s="6" t="s">
        <v>225</v>
      </c>
    </row>
    <row r="11" customFormat="false" ht="180.55" hidden="false" customHeight="false" outlineLevel="0" collapsed="false">
      <c r="A11" s="6" t="s">
        <v>136</v>
      </c>
      <c r="B11" s="6" t="s">
        <v>290</v>
      </c>
      <c r="C11" s="6" t="s">
        <v>60</v>
      </c>
      <c r="D11" s="6" t="s">
        <v>291</v>
      </c>
      <c r="E11" s="6" t="s">
        <v>292</v>
      </c>
      <c r="F11" s="6" t="s">
        <v>293</v>
      </c>
      <c r="G11" s="6" t="s">
        <v>140</v>
      </c>
      <c r="H11" s="6" t="s">
        <v>142</v>
      </c>
      <c r="I11" s="6" t="s">
        <v>294</v>
      </c>
      <c r="J11" s="6" t="s">
        <v>295</v>
      </c>
      <c r="K11" s="6" t="s">
        <v>296</v>
      </c>
      <c r="L11" s="6" t="s">
        <v>297</v>
      </c>
      <c r="M11" s="6" t="s">
        <v>225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60"/>
    <col collapsed="false" customWidth="true" hidden="false" outlineLevel="0" max="3" min="3" style="0" width="18"/>
    <col collapsed="false" customWidth="true" hidden="false" outlineLevel="0" max="4" min="4" style="0" width="60"/>
    <col collapsed="false" customWidth="true" hidden="false" outlineLevel="0" max="5" min="5" style="0" width="45"/>
  </cols>
  <sheetData>
    <row r="1" customFormat="false" ht="36" hidden="false" customHeight="true" outlineLevel="0" collapsed="false">
      <c r="A1" s="4" t="s">
        <v>298</v>
      </c>
      <c r="B1" s="4" t="s">
        <v>299</v>
      </c>
      <c r="C1" s="4" t="s">
        <v>216</v>
      </c>
      <c r="D1" s="4" t="s">
        <v>300</v>
      </c>
      <c r="E1" s="4" t="s">
        <v>301</v>
      </c>
    </row>
    <row r="2" customFormat="false" ht="57.45" hidden="false" customHeight="false" outlineLevel="0" collapsed="false">
      <c r="A2" s="6" t="s">
        <v>302</v>
      </c>
      <c r="B2" s="6" t="s">
        <v>303</v>
      </c>
      <c r="C2" s="6" t="s">
        <v>304</v>
      </c>
      <c r="D2" s="6" t="s">
        <v>305</v>
      </c>
      <c r="E2" s="6" t="s">
        <v>306</v>
      </c>
    </row>
    <row r="3" customFormat="false" ht="23.85" hidden="false" customHeight="false" outlineLevel="0" collapsed="false">
      <c r="A3" s="6" t="s">
        <v>307</v>
      </c>
      <c r="B3" s="6" t="s">
        <v>308</v>
      </c>
      <c r="C3" s="6" t="s">
        <v>304</v>
      </c>
      <c r="D3" s="6" t="s">
        <v>309</v>
      </c>
      <c r="E3" s="6" t="s">
        <v>310</v>
      </c>
    </row>
    <row r="4" customFormat="false" ht="35.05" hidden="false" customHeight="false" outlineLevel="0" collapsed="false">
      <c r="A4" s="6" t="s">
        <v>311</v>
      </c>
      <c r="B4" s="6" t="s">
        <v>312</v>
      </c>
      <c r="C4" s="6" t="s">
        <v>313</v>
      </c>
      <c r="D4" s="6" t="s">
        <v>314</v>
      </c>
      <c r="E4" s="6" t="s">
        <v>315</v>
      </c>
    </row>
    <row r="5" customFormat="false" ht="23.85" hidden="false" customHeight="false" outlineLevel="0" collapsed="false">
      <c r="A5" s="6" t="s">
        <v>316</v>
      </c>
      <c r="B5" s="6" t="s">
        <v>317</v>
      </c>
      <c r="C5" s="6" t="s">
        <v>318</v>
      </c>
      <c r="D5" s="6" t="s">
        <v>319</v>
      </c>
      <c r="E5" s="6" t="s">
        <v>320</v>
      </c>
    </row>
    <row r="6" customFormat="false" ht="23.85" hidden="false" customHeight="false" outlineLevel="0" collapsed="false">
      <c r="A6" s="6" t="s">
        <v>321</v>
      </c>
      <c r="B6" s="6" t="s">
        <v>322</v>
      </c>
      <c r="C6" s="6" t="s">
        <v>323</v>
      </c>
      <c r="D6" s="6" t="s">
        <v>324</v>
      </c>
      <c r="E6" s="6" t="s">
        <v>325</v>
      </c>
    </row>
    <row r="7" customFormat="false" ht="23.85" hidden="false" customHeight="false" outlineLevel="0" collapsed="false">
      <c r="A7" s="6" t="s">
        <v>326</v>
      </c>
      <c r="B7" s="6" t="s">
        <v>327</v>
      </c>
      <c r="C7" s="6" t="s">
        <v>323</v>
      </c>
      <c r="D7" s="6" t="s">
        <v>328</v>
      </c>
      <c r="E7" s="6" t="s">
        <v>329</v>
      </c>
    </row>
    <row r="8" customFormat="false" ht="23.85" hidden="false" customHeight="false" outlineLevel="0" collapsed="false">
      <c r="A8" s="6" t="s">
        <v>330</v>
      </c>
      <c r="B8" s="6" t="s">
        <v>331</v>
      </c>
      <c r="C8" s="6" t="s">
        <v>304</v>
      </c>
      <c r="D8" s="6" t="s">
        <v>328</v>
      </c>
      <c r="E8" s="6" t="s">
        <v>332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70"/>
    <col collapsed="false" customWidth="true" hidden="false" outlineLevel="0" max="4" min="4" style="0" width="30"/>
    <col collapsed="false" customWidth="true" hidden="false" outlineLevel="0" max="5" min="5" style="0" width="50"/>
    <col collapsed="false" customWidth="true" hidden="false" outlineLevel="0" max="6" min="6" style="0" width="30"/>
  </cols>
  <sheetData>
    <row r="1" customFormat="false" ht="36" hidden="false" customHeight="true" outlineLevel="0" collapsed="false">
      <c r="A1" s="4" t="s">
        <v>333</v>
      </c>
      <c r="B1" s="4" t="s">
        <v>334</v>
      </c>
      <c r="C1" s="4" t="s">
        <v>335</v>
      </c>
      <c r="D1" s="4" t="s">
        <v>336</v>
      </c>
      <c r="E1" s="4" t="s">
        <v>337</v>
      </c>
      <c r="F1" s="4" t="s">
        <v>338</v>
      </c>
    </row>
    <row r="2" customFormat="false" ht="57.45" hidden="false" customHeight="false" outlineLevel="0" collapsed="false">
      <c r="A2" s="6" t="n">
        <v>1</v>
      </c>
      <c r="B2" s="6" t="s">
        <v>339</v>
      </c>
      <c r="C2" s="6" t="s">
        <v>340</v>
      </c>
      <c r="D2" s="6" t="s">
        <v>341</v>
      </c>
      <c r="E2" s="6" t="s">
        <v>342</v>
      </c>
      <c r="F2" s="7"/>
    </row>
    <row r="3" customFormat="false" ht="23.85" hidden="false" customHeight="false" outlineLevel="0" collapsed="false">
      <c r="A3" s="6" t="n">
        <v>2</v>
      </c>
      <c r="B3" s="6" t="s">
        <v>343</v>
      </c>
      <c r="C3" s="6" t="s">
        <v>344</v>
      </c>
      <c r="D3" s="6" t="s">
        <v>345</v>
      </c>
      <c r="E3" s="6" t="s">
        <v>346</v>
      </c>
      <c r="F3" s="7"/>
    </row>
    <row r="4" customFormat="false" ht="46.25" hidden="false" customHeight="false" outlineLevel="0" collapsed="false">
      <c r="A4" s="6" t="n">
        <v>3</v>
      </c>
      <c r="B4" s="6" t="s">
        <v>347</v>
      </c>
      <c r="C4" s="6" t="s">
        <v>348</v>
      </c>
      <c r="D4" s="6" t="s">
        <v>349</v>
      </c>
      <c r="E4" s="6" t="s">
        <v>350</v>
      </c>
      <c r="F4" s="7"/>
    </row>
    <row r="5" customFormat="false" ht="35.05" hidden="false" customHeight="false" outlineLevel="0" collapsed="false">
      <c r="A5" s="6" t="n">
        <v>4</v>
      </c>
      <c r="B5" s="6" t="s">
        <v>351</v>
      </c>
      <c r="C5" s="6" t="s">
        <v>352</v>
      </c>
      <c r="D5" s="6" t="s">
        <v>353</v>
      </c>
      <c r="E5" s="6" t="s">
        <v>354</v>
      </c>
      <c r="F5" s="7"/>
    </row>
    <row r="6" customFormat="false" ht="35.05" hidden="false" customHeight="false" outlineLevel="0" collapsed="false">
      <c r="A6" s="6" t="n">
        <v>5</v>
      </c>
      <c r="B6" s="6" t="s">
        <v>355</v>
      </c>
      <c r="C6" s="6" t="s">
        <v>356</v>
      </c>
      <c r="D6" s="6" t="s">
        <v>357</v>
      </c>
      <c r="E6" s="6" t="s">
        <v>358</v>
      </c>
      <c r="F6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2026-10-08T20:32:58Z</dcterms:created>
  <dc:creator>openpyxl</dc:creator>
  <dc:description/>
  <dc:language>en-US</dc:language>
  <cp:lastModifiedBy/>
  <dcterms:modified xsi:type="dcterms:W3CDTF">2026-10-08T20:32:58Z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