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Verified Database" sheetId="2" state="visible" r:id="rId4"/>
    <sheet name="TOP-10" sheetId="3" state="visible" r:id="rId5"/>
    <sheet name="Аудит агента 01" sheetId="4" state="visible" r:id="rId6"/>
    <sheet name="Исключены и отложены" sheetId="5" state="visible" r:id="rId7"/>
  </sheets>
  <definedNames>
    <definedName function="false" hidden="true" localSheetId="1" name="_xlnm._FilterDatabase" vbProcedure="false">'Verified Database'!$A$1:$AG$21</definedName>
    <definedName function="false" hidden="true" localSheetId="3" name="_xlnm._FilterDatabase" vbProcedure="false">'Аудит агента 01'!$A$12:$E$162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<sst xmlns="http://schemas.openxmlformats.org/spreadsheetml/2006/main" count="1374" uniqueCount="826">
  <si>
    <t xml:space="preserve">LEGITIMUS · Verified Partners Database (Агент 02: Partnership Intelligence Analyst)</t>
  </si>
  <si>
    <t xml:space="preserve">Дата проверки: 2026-10-08. Источник для проверки: база агента 01 (Legitimus_partners_research.xlsx).</t>
  </si>
  <si>
    <t xml:space="preserve">Статус</t>
  </si>
  <si>
    <t xml:space="preserve">Кол-во</t>
  </si>
  <si>
    <t xml:space="preserve">TOP-10 · Приоритет 1</t>
  </si>
  <si>
    <t xml:space="preserve">TOP-10 · Приоритет 2</t>
  </si>
  <si>
    <t xml:space="preserve">Отложено: требуется комплаенс-проверка</t>
  </si>
  <si>
    <t xml:space="preserve">Резерв</t>
  </si>
  <si>
    <t xml:space="preserve">Исключено</t>
  </si>
  <si>
    <t xml:space="preserve">Всего</t>
  </si>
  <si>
    <t xml:space="preserve">Шкала оценки (100 баллов)</t>
  </si>
  <si>
    <t xml:space="preserve">Соответствие целевому профилю LEGITIMUS</t>
  </si>
  <si>
    <t xml:space="preserve">Потенциал клиентов на постоянное обслуживание</t>
  </si>
  <si>
    <t xml:space="preserve">Возможность сотрудничества с местным юр. партнёром</t>
  </si>
  <si>
    <t xml:space="preserve">Коммерческий интерес к Молдове</t>
  </si>
  <si>
    <t xml:space="preserve">Доступность лиц, принимающих решения</t>
  </si>
  <si>
    <t xml:space="preserve">Максимум</t>
  </si>
  <si>
    <t xml:space="preserve">Уровни достоверности: High = текст официального сайта или реестра; Medium = сниппет с официального домена или из авторитетной прессы; Low = сторонний каталог или косвенные данные.</t>
  </si>
  <si>
    <t xml:space="preserve">«ASSUMPTION» = аналитическое допущение, не факт. «not found» означает, что сведения не найдены, а не что их нет.</t>
  </si>
  <si>
    <t xml:space="preserve">ОГРАНИЧЕНИЕ: сетевая политика среды блокировала открытие сайтов компаний. Проверка шла через поисковую выдачу (site:-запросы к официальным доменам, пресс-релизы, отраслевые СМИ). Перед контактом сверьте ключевые факты на сайтах.</t>
  </si>
  <si>
    <t xml:space="preserve">Баллы (синие) — экспертная оценка агента 02 с обоснованием в соседних столбцах. Их можно менять: итог и ранг пересчитаются.</t>
  </si>
  <si>
    <t xml:space="preserve">GSL набрал 65 баллов, но выведен из TOP-10 до формальной проверки по санкционным спискам (решение аналитика). Его место занял Virtuzone (59).</t>
  </si>
  <si>
    <t xml:space="preserve">Никаких контактов с компаниями не было: письма не отправлялись, формы не заполнялись.</t>
  </si>
  <si>
    <t xml:space="preserve">Ранг</t>
  </si>
  <si>
    <t xml:space="preserve">Компания</t>
  </si>
  <si>
    <t xml:space="preserve">Сайт</t>
  </si>
  <si>
    <t xml:space="preserve">Штаб-квартира</t>
  </si>
  <si>
    <t xml:space="preserve">Профиль /20</t>
  </si>
  <si>
    <t xml:space="preserve">Пост. клиенты /30</t>
  </si>
  <si>
    <t xml:space="preserve">Локальный партнёр /20</t>
  </si>
  <si>
    <t xml:space="preserve">Интерес к Молдове /15</t>
  </si>
  <si>
    <t xml:space="preserve">Доступность ЛПР /15</t>
  </si>
  <si>
    <t xml:space="preserve">ИТОГО /100</t>
  </si>
  <si>
    <t xml:space="preserve">Оценка агента 01 (×20, индикативно)</t>
  </si>
  <si>
    <t xml:space="preserve">Δ к агенту 01</t>
  </si>
  <si>
    <t xml:space="preserve">Обоснование оценок</t>
  </si>
  <si>
    <t xml:space="preserve">Существует / активна</t>
  </si>
  <si>
    <t xml:space="preserve">Специализация</t>
  </si>
  <si>
    <t xml:space="preserve">Регистрация в нескольких странах</t>
  </si>
  <si>
    <t xml:space="preserve">Молдова</t>
  </si>
  <si>
    <t xml:space="preserve">Как оказывается в Молдове</t>
  </si>
  <si>
    <t xml:space="preserve">Доказательства по Молдове</t>
  </si>
  <si>
    <t xml:space="preserve">Достоверность (Молдова)</t>
  </si>
  <si>
    <t xml:space="preserve">Источники (Молдова)</t>
  </si>
  <si>
    <t xml:space="preserve">Сотрудничество с юрфирмами</t>
  </si>
  <si>
    <t xml:space="preserve">Долгосрочные услуги</t>
  </si>
  <si>
    <t xml:space="preserve">Признаки разовых продаж</t>
  </si>
  <si>
    <t xml:space="preserve">Email</t>
  </si>
  <si>
    <t xml:space="preserve">Телефон</t>
  </si>
  <si>
    <t xml:space="preserve">Страница контактов</t>
  </si>
  <si>
    <t xml:space="preserve">Контакты актуальны?</t>
  </si>
  <si>
    <t xml:space="preserve">Достоверность (контакты)</t>
  </si>
  <si>
    <t xml:space="preserve">ЛПР (имя, должность, источник, достоверность)</t>
  </si>
  <si>
    <t xml:space="preserve">Причина исключения</t>
  </si>
  <si>
    <t xml:space="preserve">Дата проверки</t>
  </si>
  <si>
    <t xml:space="preserve">Accace</t>
  </si>
  <si>
    <t xml:space="preserve">https://accace.com</t>
  </si>
  <si>
    <t xml:space="preserve">Bratislava, Slovakia</t>
  </si>
  <si>
    <t xml:space="preserve">profile_fit: Multi-country corporate/accounting/payroll provider with CEE focus and an operating partner network - closest profile to Legitimus's target.
recurring_client_potential: Recurring outsourcing clients (mid-size and Fortune 500) entering CEE generate ongoing legal needs (corporate changes, employment, contracts).
local_legal_partner_cooperation: Explicit partner network (Accace Circle) covers non-office jurisdictions; but it is BPO/advisor-oriented, legal partner role not explicitly advertised.
moldova_commercial_interest: Already markets Moldova services with no visible own office - a real delivery-partner need, though an incumbent Moldovan provider may exist.
decision_maker_accessibility: Named CEO and named Circle BD &amp; Community Lead on own domain; no direct verified email/phone.</t>
  </si>
  <si>
    <t xml:space="preserve">yes - active; indexed live pages incl. Moldova service pages and Accace Circle site; leadership page live —  [Medium] https://www.accace.com/locations/moldova/corporate-and-secretarial-services/
https://circle.accace.com/
https://www.accace.com/about-us/meet-our-key-people/</t>
  </si>
  <si>
    <t xml:space="preserve">CEE-rooted BPO/outsourcing: corporate &amp; secretarial, accounting &amp; reporting, payroll/HR, tax, market entry; tax and legal experts engaged across network</t>
  </si>
  <si>
    <t xml:space="preserve">yes — Accace Circle states coverage of 60+ jurisdictions / 7,000+ professionals (search summary of circle.accace.com); older Accace pages say ~40 (2020) and AmCham RO profile says 50+. Own offices only in a subset (CZ, HU, PL, RO, SK, ZA, UA, UK per theorg.com); other locations 'covered via Accace's trusted network of partners'. [Medium] https://circle.accace.com/
https://accace.com/accace-circle-new-markets-within-your-reach-press-release/
https://www.amcham.ro/company/accace-outsourcing
https://theorg.com/org/accace</t>
  </si>
  <si>
    <t xml:space="preserve">offered</t>
  </si>
  <si>
    <t xml:space="preserve">unclear</t>
  </si>
  <si>
    <t xml:space="preserve">Dedicated page 'Corporate and secretarial services in Moldova' indexed on accace.com (company setup, tax registration, permits). No Chisinau office address found; Moldova not in the own-office list (theorg.com). ASSUMPTION: Moldova is likely delivered through a Circle/partner provider, not an own entity.</t>
  </si>
  <si>
    <t xml:space="preserve">Medium</t>
  </si>
  <si>
    <t xml:space="preserve">https://www.accace.com/locations/moldova/corporate-and-secretarial-services/
https://theorg.com/org/accace</t>
  </si>
  <si>
    <t xml:space="preserve">partial - network of BPO providers and advisors (Accace Circle), not a law-firm network — Accace Circle = 'co-created business community of like-minded BPO providers and advisors' under one account management; Business Development &amp; Community Lead named. Legal experts referenced but law firms are not explicitly the core membership. [Medium] https://circle.accace.com/
https://circle.accace.com/?p=205
https://accace.com/accace-circle-new-markets-within-your-reach-press-release/</t>
  </si>
  <si>
    <t xml:space="preserve">yes — Accounting &amp; reporting, payroll/HR, corporate secretarial, tax; Moldova accounting page indexed (per agent 01; not re-surfaced this run). https://www.accace.com/locations/moldova/corporate-and-secretarial-services/
https://accace.com/accace-circle-new-markets-within-your-reach-press-release/</t>
  </si>
  <si>
    <t xml:space="preserve">None found - positioning is ongoing outsourcing (accounting, payroll, secretarial).</t>
  </si>
  <si>
    <t xml:space="preserve">not verified on own domain (agent 01 directory emails slovakia@accace.com / czechrepublic@accace.com remain unverified)</t>
  </si>
  <si>
    <t xml:space="preserve">not verified on own domain</t>
  </si>
  <si>
    <t xml:space="preserve">not verified (accace.com unreachable: ENOTFOUND)</t>
  </si>
  <si>
    <t xml:space="preserve">Low</t>
  </si>
  <si>
    <t xml:space="preserve">Mihaela Pašek-Virlan — Partner and CEO (since early 2020) (Medium (own-domain snippet; page undated)) https://www.accace.com/about-us/meet-our-key-people/
Alžbeta Košinár — Business Development &amp; Community Lead, Accace Circle (Medium) https://circle.accace.com/ (interview indexed on circle.accace.com)</t>
  </si>
  <si>
    <t xml:space="preserve">2026-10-08</t>
  </si>
  <si>
    <t xml:space="preserve">Eurofast</t>
  </si>
  <si>
    <t xml:space="preserve">https://eurofast.eu</t>
  </si>
  <si>
    <t xml:space="preserve">Nicosia, Cyprus (group); large Athens operation (Kallithea, Athens phone +30 210 82 57 720 per third-party profile)</t>
  </si>
  <si>
    <t xml:space="preserve">profile_fit: Multi-country SEE/Black Sea advisory firm with recurring accounting/payroll/tax/legal services - very close to Legitimus' target profile.
recurring_client_potential: Its clients need ongoing payroll, accounting and compliance; a Moldova entity for a regional client would generate recurring legal/corporate work. Volume of Moldova demand unproven.
local_legal_partner_cooperation: Belongs to BKR and PrimeGlobal networks, which suggests it is used to cross-referrals, but its legal work is done in-house and no law-firm partner page was found.
moldova_commercial_interest: Moldova is a clear gap between its Bucharest/Targoviste and Kyiv offices, and it keeps expanding (3 new SEE offices). No stated interest in Moldova found.
decision_maker_accessibility: Two Managing Directors are named on the company's own domain; a direct email or phone line was not verified.</t>
  </si>
  <si>
    <t xml:space="preserve">yes - ACTIVE in 2024-2026 — (1) 'Eurofast-Company-Profile_2026-1.pdf' hosted on eurofast.eu under /wp-content/uploads/2026/05/ (May 2026); (2) own-domain profile: Antonis Gavrielides 'named Managing Director in June 2025'; (3) own-domain press release on new offices in Thessaloniki, Plovdiv and Nis (Irena Damianou quoted as Managing Director; '24 offices in 24 cities across 20 countries'; date not shown in snippet); (4) March 2024 rebrand (new logo + website) reported by PrimeGlobal and BKR; (5) Eurofast International Ltd Tax Advisor job posting (ergodotisi.com) reported dated 31 July 2026; (6) live Tax &amp; Legal Advisor posting in Nis, Serbia (infostud). Direct fetch of eurofast.eu failed (DNS ENOTFOUND in this environment) - not evidence of site being down. [Medium-High] https://eurofast.eu/wp-content/uploads/2026/05/Eurofast-Company-Profile_2026-1.pdf
https://eurofast.eu/member/gavrielides-antonis/
https://eurofast.eu/eurofast-expands-regional-presence-with-new-offices-in-southeast-europe/
https://www.primeglobal.net/news/new-brand-identity-eurofast
https://bkr.com/cyrpus-member-eurofast-introduces-refreshed-brand-identity/
https://ergodotisi.com/jobs/6999150/Eurofast+International+Ltd/Tax+Advisor
https://poslovi.infostud.com/posao/tax-legal-advisor/eurofast-international-doo/727867</t>
  </si>
  <si>
    <t xml:space="preserve">Regional business advisory: payroll &amp; employment / EOR, tax &amp; transfer pricing, accounting &amp; compliance, advisory &amp; corporate (incl. trustee) services, tax &amp; legal, global mobility, citizenship &amp; residency, M&amp;A/corporate finance. In-house local advisers incl. lawyers.</t>
  </si>
  <si>
    <t xml:space="preserve">yes - ~20 countries, 24-25 cities — Meet Eurofast page: presence in over 25 cities; fully-fledged offices Athens, Thessaloniki, Nicosia, Sofia, Plovdiv, Bucharest, Belgrade, Nis, Targoviste, Podgorica, Tirana, Skopje, Zagreb, Ljubljana, Pristina, Banja Luka, Sarajevo, Cairo, Tbilisi, Kyiv, Vilnius, Tallinn, Dubai; associate offices Beirut, Erbil. Press release: 24 offices / 24 cities / 20 countries. [Medium] https://eurofast.eu/meet-eurofast/
https://eurofast.eu/eurofast-expands-regional-presence-with-new-offices-in-southeast-europe/</t>
  </si>
  <si>
    <t xml:space="preserve">not found</t>
  </si>
  <si>
    <t xml:space="preserve">n/a</t>
  </si>
  <si>
    <t xml:space="preserve">Office list on own domain contains no Moldovan city; nearest offices Bucharest, Targoviste (RO) and Kyiv (UA). Searches 'Eurofast Moldova/Chisinau' returned no Eurofast Moldova service. Whether they serve Moldova via Bucharest/Kyiv or a correspondent: not found.</t>
  </si>
  <si>
    <t xml:space="preserve">https://eurofast.eu/meet-eurofast/</t>
  </si>
  <si>
    <t xml:space="preserve">unclear - network membership only; legal delivered in-house — Member of BKR International and PrimeGlobal (accounting/advisory associations), historically Taxand Cyprus member. Meet Eurofast page describes a 'Dream Team' of local advisors 'comprising lawyers, accountants', i.e. legal work done by own staff. No 'local counsel' / law-firm partner page found. ASSUMPTION: for jurisdictions without an office (e.g. Moldova) they would need an external correspondent. [Medium] https://eurofast.eu/meet-eurofast/
https://www.primeglobal.net/firms/eurofast
https://bkr.com/cyrpus-member-eurofast-introduces-refreshed-brand-identity/</t>
  </si>
  <si>
    <t xml:space="preserve">yes — Payroll &amp; Employment, Tax &amp; Transfer Pricing, Accounting &amp; Compliance, Advisory &amp; Corporate Services (rebrand 2024); payroll, accounting, tax, global mobility, EOR, corporate services (expansion release). https://www.primeglobal.net/news/new-brand-identity-eurofast
https://eurofast.eu/eurofast-expands-regional-presence-with-new-offices-in-southeast-europe/</t>
  </si>
  <si>
    <t xml:space="preserve">None found. Positioning is ongoing advisory (payroll, accounting, tax, EOR), not registration packages.</t>
  </si>
  <si>
    <t xml:space="preserve">info@eurofast.eu</t>
  </si>
  <si>
    <t xml:space="preserve">+30 210 82 57 720 (Athens, per career.auth.gr); +357 22 699 000 (Nicosia, per BKR directory per agent 01 - not re-confirmed)</t>
  </si>
  <si>
    <t xml:space="preserve">not verified (eurofast.eu not fetchable)</t>
  </si>
  <si>
    <t xml:space="preserve">Antonis Gavrielides — Managing Director (since June 2025; formerly Group CEO from Nov 2022) (Medium) https://eurofast.eu/member/gavrielides-antonis/
Irena Damianou — Managing Director (Nicosia); formerly Chief Marketing Officer / Board member (Medium) https://eurofast.eu/member/damianou-irena/ ; https://eurofast.eu/eurofast-expands-regional-presence-with-new-offices-in-southeast-europe/
Christodoulos (Chris) Damianou — Non-Executive Chairman (as of Gavrielides CEO appointment, 2022) - current role not re-confirmed (Low) https://eurofast.eu/antonis-gavrielides-appointed-new-eurofast-group-ceo/</t>
  </si>
  <si>
    <t xml:space="preserve">BridgeWest (BridgeWest Legal Network)</t>
  </si>
  <si>
    <t xml:space="preserve">https://bridgewest.eu</t>
  </si>
  <si>
    <t xml:space="preserve">Unclear: LinkedIn company page lists Nicosia, Cyprus (founded 2008); main contact page lists a Malta address in San Gwann. Not registry-verified.</t>
  </si>
  <si>
    <t xml:space="preserve">profile_fit: Multi-country formation + legal/accounting network delivered by independent local firms - close to Legitimus's target profile; weakened by offshore/shelf focus and thin content.
recurring_client_potential: Volume of Moldova referrals unknown; ongoing services exist in some countries but Moldova offer is formation-centric. ASSUMPTION: modest but steady flow of foreign-investor files.
local_legal_partner_cooperation: Entire delivery model relies on independent local law firms/affiliates; partner law firms publicly named; 'Join Our Network' section.
moldova_commercial_interest: Already sells Moldova (formation, shelf companies, VAT) - demonstrates demand; but slot may be filled by an existing affiliate, so Legitimus would need to replace/complement it.
decision_maker_accessibility: Small network; co-founder identifiable via LinkedIn; generic office@ email. Contact-page freshness unclear.</t>
  </si>
  <si>
    <t xml:space="preserve">yes - site indexed with many jurisdiction pages; recency only partly verifiable (some country guide pages indexed ~190-270 days old, some contact pages 3,000+ days old). No 2025-2026 dated news/press found. —  [Medium] https://bridgewest.eu/
https://bridgewest.eu/about-us/
https://bridgewest.eu/company-formation-kuwait/
https://www.linkedin.com/company/bridgewest-limited</t>
  </si>
  <si>
    <t xml:space="preserve">International company formation, accounting/financial, immigration and legal services delivered through independent local affiliates (law firms, consultants, accountants); also shelf companies, EU VAT registration, offshore and licensing (crypto/gaming).</t>
  </si>
  <si>
    <t xml:space="preserve">yes — Own claim: network 'activating in over 70 countries' (LinkedIn: 'over 65 countries'); country pages/divisions for Ireland, Singapore, Germany, Denmark, Portugal, Luxembourg (via Luxstart S.A.), Romania, Georgia, Bosnia, etc. [Medium] https://bridgewest.eu/about-us/
https://bridgewest.eu/about-us-ireland/
https://bridgewest.eu/about-us-luxembourg/
https://www.linkedin.com/company/bridgewest-limited</t>
  </si>
  <si>
    <t xml:space="preserve">Dedicated page: 'team of company registration agents in Moldova' for local/foreign investors, ready-made Moldovan companies and VAT registration. Sitemap lists an 'About Us Moldova' page whose content was not visible; identity of the Moldovan affiliate not found (ASSUMPTION: delivered by an independent Moldovan affiliate, consistent with network model).</t>
  </si>
  <si>
    <t xml:space="preserve">https://bridgewest.eu/company-formation-moldova/
https://bridgewest.eu/website-sitemap/</t>
  </si>
  <si>
    <t xml:space="preserve">yes — Business model built on independent affiliates incl. law firms; 'Partner Law Firms' page names local firms (e.g. Rolegal and E&amp;C in Bucharest 'part of our legal network'); homepage 'Join Our Network' section (terms not visible). Cyprus page profiles a lawyer (Cyprus Bar member since 1980). [Medium] https://bridgewest.eu/
https://www.bridgewest.eu/partner-law-firms
https://bridgewest.eu/about-us/</t>
  </si>
  <si>
    <t xml:space="preserve">partial — Accounting, bookkeeping, audit, tax consulting, virtual office (e.g. Luxembourg, Armenia pages); immigration; legal services via affiliates. No Moldova-specific ongoing services found. https://bridgewest.eu/about-us-luxembourg/
https://bridgewest.eu/company-registered-office-armenia/
https://bridgewest.eu/about-us/</t>
  </si>
  <si>
    <t xml:space="preserve">Moderate: heavy formation/shelf-company/offshore marketing, 'ready-made' companies, tax-minimisation structures; many thin SEO country pages. Some country pages mention accounting/virtual office, so not purely one-off.</t>
  </si>
  <si>
    <t xml:space="preserve">office@bridgewest.eu</t>
  </si>
  <si>
    <t xml:space="preserve">(+35) 699 699 405 on main contact page (ASSUMPTION: Malta mobile +356 9969 9405, prefix printed incompletely); +44 203 287 0408 appears on Bahamas page</t>
  </si>
  <si>
    <t xml:space="preserve">https://bridgewest.eu/contact/</t>
  </si>
  <si>
    <t xml:space="preserve">Vlad Cuc — Co-founder and General Director, BridgeWest (per LinkedIn headline) (Low) https://www.linkedin.com/in/vlad-cuc-21152610/</t>
  </si>
  <si>
    <t xml:space="preserve">Healy Consultants Group (part of Hawksford)</t>
  </si>
  <si>
    <t xml:space="preserve">https://www.healyconsultants.com</t>
  </si>
  <si>
    <t xml:space="preserve">Singapore (16 Raffles Quay, #32-03 Hong Leong Building); Dubai office; parent Hawksford (Jersey) since Sept 2023</t>
  </si>
  <si>
    <t xml:space="preserve">profile_fit: Global multi-country set-up house with ongoing compliance services and an active Moldova product.
recurring_client_potential: Publishes Moldova annual running costs (accounting/tax/audit), implying recurring local work per client. Volume unknown.
local_legal_partner_cooperation: Explicitly works with local lawyers in 180+ locations, evidenced by law-firm testimonials; no formal partner programme.
moldova_commercial_interest: Actively markets Moldova with detailed pages; existing local provider likely, and page freshness uncertain.
decision_maker_accessibility: Founder semi-retired; now inside Hawksford group, current Healy operational leadership not found; only generic email.</t>
  </si>
  <si>
    <t xml:space="preserve">yes - live; contact page uses healy@hawksford.com; pages titled 2026 (though search metadata shows Moldova pages ~797 days old) —  [Medium] https://www.healyconsultants.com/contact-us/
https://www.hawksford.com/insights-and-guides/hawksford-acquires-healy-consultants</t>
  </si>
  <si>
    <t xml:space="preserve">Global business set-up: company registration, corporate bank account opening, immigration, accounting and tax filing, licensing - for SMEs/multinationals expanding abroad.</t>
  </si>
  <si>
    <t xml:space="preserve">yes — Claims set-up in 200+ countries since 2003 and professional relationships with banks, governments, lawyers and accountants in 180+ locations. [Medium] https://www.healyconsultants.com/about-us/
https://www.healyconsultants.com/</t>
  </si>
  <si>
    <t xml:space="preserve">Dedicated Moldova pages: LLC with 1 director/1 shareholder, US$300 min capital, ~2 weeks, filings with State Registration Chamber via power of attorney; fee page cites avg first-year engagement US$10,145 and annual US$1,475-3,775 (internal inconsistency). No own Moldovan office found. ASSUMPTION: execution via local Moldovan lawyers/agents.</t>
  </si>
  <si>
    <t xml:space="preserve">https://www.healyconsultants.com/moldova-company-registration/
https://www.healyconsultants.com/moldova-company-registration/incorporation-steps/
https://www.healyconsultants.com/moldova-company-registration/fees-timelines/
https://www.healyconsultants.com/moldova-company-registration/setup-llc/</t>
  </si>
  <si>
    <t xml:space="preserve">yes — Site states relationships with lawyers and accountants in 180+ locations; testimonials from local law firms working with Healy (Lebanese law firm since 2014; Baoleki Attorneys, Botswana, since 2018); Malaysia case mentions 'our solicitor in Kuala Lumpur'. No formal partner programme page found. [Medium] https://www.healyconsultants.com/clients/testimonials/
https://www.healyconsultants.com/about-us/</t>
  </si>
  <si>
    <t xml:space="preserve">yes — Annual accounting, tax filing, audit coordination, registered office, immigration; Moldova page cites annual audited financial statements and annual running costs. https://www.healyconsultants.com/moldova-company-registration/
https://www.hawksford.com/insights-and-guides/hawksford-acquires-healy-consultants</t>
  </si>
  <si>
    <t xml:space="preserve">Low-moderate: strong formation focus with fixed engagement fees, but fees bundle bank account, registered office, accounting and tax; annual renewal fees published.</t>
  </si>
  <si>
    <t xml:space="preserve">healy@hawksford.com</t>
  </si>
  <si>
    <t xml:space="preserve">+65 6031 0332 (SG); +971 4266 4470 (Dubai); WhatsApp +65 9123 7743</t>
  </si>
  <si>
    <t xml:space="preserve">https://www.healyconsultants.com/contact-us/</t>
  </si>
  <si>
    <t xml:space="preserve">yes</t>
  </si>
  <si>
    <t xml:space="preserve">Aidan Healy — Founder / Managing Director (self-profile states semi-retired since 2018, relies on CEOs) (Medium) https://www.healyconsultants.com/about-us/key-personnel/aidan-healy-profile/
Michel van Leeuwen — Group Chief Executive, Hawksford (as of Sept 2023 announcement) (Medium) https://www.hawksford.com/insights-and-guides/hawksford-acquires-healy-consultants</t>
  </si>
  <si>
    <t xml:space="preserve">Commitbiz (Commitbiz LLC)</t>
  </si>
  <si>
    <t xml:space="preserve">https://www.commitbiz.com</t>
  </si>
  <si>
    <t xml:space="preserve">Dubai, UAE (10th floor, Dubai World Trade Center, Sheikh Zayed Road)</t>
  </si>
  <si>
    <t xml:space="preserve">profile_fit: Genuine CSP with formation plus recurring accounting/compliance; core is GCC, not Europe, so Moldova is adjacent rather than central.
recurring_client_potential: Large GCC client base (claims 10k-20k clients) incl. CIS/Eastern European founders via Moscow/Bucharest offices; plausible flow of UAE-Moldova structures (DTT exists), but volume of Moldova demand is unproven.
local_legal_partner_cooperation: Only company in batch with a published bilateral referral agreement (two-way leads, 20% fee). Not law-firm-specific.
moldova_commercial_interest: No Moldova service; Bucharest office and Moscow office suggest regional clientele; UAE-Moldova DTT referenced on site.
decision_maker_accessibility: MD named in 2025 press release; general contact channels live; no named partnerships head.</t>
  </si>
  <si>
    <t xml:space="preserve">yes - active 2025-2026 —  [High] https://www.commitbiz.com/contact-us
https://www.prnewswire.com/ae/ar/news-releases/u0645u0643u062Au0628u002Du0063u006Fu006Du006Du0069u0074u0062u0069u007Au002Du0641u064Au002Du062Fu0628u064Au002Du064Au064Eu062Du0635u0644u002D-302530821.html
https://aijourn.com/?p=382000</t>
  </si>
  <si>
    <t xml:space="preserve">UAE/GCC business setup (mainland, free zone, offshore), PRO/visa, accounting &amp; bookkeeping, VAT &amp; corporate tax, audit support, entity management/compliance (ESR, CRS, FATCA), IP, commercial contracts. Core market is GCC; European offices are secondary.</t>
  </si>
  <si>
    <t xml:space="preserve">yes — Formation/PRO pages for UAE, Qatar, Bahrain, Saudi Arabia, Oman; offices listed in Dubai, Abu Dhabi, Sharjah, Sanabis (Bahrain), Doha, Barka (Oman), London, Moscow, Naples, Bucharest. [Medium] https://www.commitbiz.com/contact-us
https://www.commitbiz.com/sa/pro-services-in-saudi-arabia</t>
  </si>
  <si>
    <t xml:space="preserve">Moldova appears only in the UAE double-tax-treaty list on the tax residency certificate page. No Moldova formation page found. Romania (Bucharest) office address exists on contact page, but Romanian office phone shown with +971 code - office may be a representative/virtual presence (ASSUMPTION).</t>
  </si>
  <si>
    <t xml:space="preserve">https://www.commitbiz.com/tax-residency-certificate-uae
https://www.commitbiz.com/contact-us</t>
  </si>
  <si>
    <t xml:space="preserve">yes - formal two-way referral agreement published — Published REFERRAL AGREEMENT: either party may refer leads via referral form; 7 days to accept/decline; referral fee 20% of professional fee per conversion (or referrer adds a margin); 30-day termination; 1-year non-solicit; UAE law, Dubai courts. Not law-firm-specific, but a ready bilateral B2B model. Blog mentions a business unit head with corporate lawyer background; no named external law-firm network found. [High] https://www.commitbiz.com/refer-and-earn-terms-conditions</t>
  </si>
  <si>
    <t xml:space="preserve">yes — Accounting &amp; bookkeeping, payroll, VAT returns, corporate tax compliance, audit support, entity management (ESR/CRS/FATCA/governance), PRO services. https://www.commitbiz.com/accounting-bookkeeping-services-in-dubai-uae
https://www.commitbiz.com/vat-in-uae
https://www.commitbiz.com/business-management-services-uae</t>
  </si>
  <si>
    <t xml:space="preserve">Moderate: package pricing ('from AED 12,345'), cost pages for 2026, claims of 10,000-20,000 businesses incorporated; but bundled with ongoing accounting/VAT/PRO. Homepage disclaimer reportedly names a separate entity 'RC Migration' - template artefact or affiliate; needs check.</t>
  </si>
  <si>
    <t xml:space="preserve">info@commitbiz.com (from agent 01; not re-confirmed in this check)</t>
  </si>
  <si>
    <t xml:space="preserve">+971 4 386 7444 (shown in contact page title); +971 4 871 4159 not re-confirmed</t>
  </si>
  <si>
    <t xml:space="preserve">https://www.commitbiz.com/contact-us</t>
  </si>
  <si>
    <t xml:space="preserve">Manu Thomas V — Managing Director, Commitbiz LLC (Medium) https://aijourn.com/?p=382000 (PRNewswire release, 14 Aug 2025)</t>
  </si>
  <si>
    <t xml:space="preserve">The Sovereign Group</t>
  </si>
  <si>
    <t xml:space="preserve">https://www.sovereigngroup.com</t>
  </si>
  <si>
    <t xml:space="preserve">Gibraltar (Sovereign Place, 117 Main Street) - founded 1987</t>
  </si>
  <si>
    <t xml:space="preserve">profile_fit: Large, established independent CSP with exactly the long-term corporate/trust admin profile sought; offshore/IFC-heavy rather than CEE.
recurring_client_potential: Scale (20k structures, 20+ offices) and HNW/corporate client base can generate recurring needs, but no evidence of existing Moldova demand.
local_legal_partner_cooperation: Explicitly serves and builds referral networks with lawyers/accountants and offers white-label to intermediaries; no formal introducer terms published.
moldova_commercial_interest: No CEE/Moldova footprint visible; Cyprus and Malta offices are the nearest relevant hubs for CIS-origin structures (ASSUMPTION).
decision_maker_accessibility: Named CEO, Group Sales Director and regional BD heads on own site; team pages undated.</t>
  </si>
  <si>
    <t xml:space="preserve">yes - active —  [High] https://www.sovereigngroup.com/offices/
https://www.sovereigngroup.com/events/sovereign-at-going-global-live-2025/
https://www.sovereigngroup.com/news/sovereign-group-acquires-pro-partner-group-to-further-expand-its-gcc-footprint/</t>
  </si>
  <si>
    <t xml:space="preserve">Independent corporate &amp; trust services provider: company formation &amp; management, back-office, tax and regulatory compliance, cross-border restructuring, trusts, pensions, residency/citizenship planning, family office.</t>
  </si>
  <si>
    <t xml:space="preserve">yes - 20+ jurisdictions — Offices page lists ~23 entries (Abu Dhabi, Bahrain, Cyprus, Dubai, Gibraltar, Guernsey, Hong Kong, Isle of Man, Malta, Mauritius, Oman, Portugal, Qatar, Saudi Arabia, Singapore, Cape Town, Switzerland, London, Chester); locations page adds Bahamas, Turks &amp; Caicos. Claims 20,000 structures since 1987, 400+ staff, 30+ licences. [High] https://www.sovereigngroup.com/offices/
https://www.sovereigngroup.com/locations/
https://www.sovereigngroup.com/our-services/corporate-services/</t>
  </si>
  <si>
    <t xml:space="preserve">No Moldova or Romania pages/offices in domain-restricted searches; no CEE office.</t>
  </si>
  <si>
    <t xml:space="preserve">https://www.sovereigngroup.com/locations/</t>
  </si>
  <si>
    <t xml:space="preserve">yes - works with and for professional intermediaries — Offices serve 'professional intermediaries'; Isle of Man and Dubai offer white-label services so professional firms deliver structures under their own brand; BD roles focus on relationships with accountants, legal and tax advisors; jobs ad mentions building referral networks with law and accounting firms. No formal introducer programme page or published terms. [Medium] https://www.sovereigngroup.com/isle-man/
https://www.sovereigngroup.com/dubai/
https://www.sovereigngroup.com/staff/herman-redelinghuys/
https://www.sovereigngroup.com/jobs/trust-and-corporate-services-consultant/</t>
  </si>
  <si>
    <t xml:space="preserve">yes — Company management, back-office, tax &amp; regulatory compliance, trusts, pensions, family office. https://www.sovereigngroup.com/our-services/corporate-services/</t>
  </si>
  <si>
    <t xml:space="preserve">Low. Positioned on ongoing administration, trusts, pensions, compliance. No '24h company' style selling seen.</t>
  </si>
  <si>
    <t xml:space="preserve">info@SovereignGroup.com; gib@SovereignGroup.com (from agent 01, not re-confirmed)</t>
  </si>
  <si>
    <t xml:space="preserve">+350 200 76173 (Gibraltar, from agent 01, not re-confirmed)</t>
  </si>
  <si>
    <t xml:space="preserve">https://www.sovereigngroup.com/contact-us/</t>
  </si>
  <si>
    <t xml:space="preserve">Gerry Kelly — Group Chief Executive Officer (Medium) https://www.sovereigngroup.com/staff/gerry-kelly/
Howard Bilton — Group Chairman and founder (Medium) https://www.sovereigngroup.com/staff/howard-bilton/
Nicholas Cully — Group Sales Director (Medium) https://www.sovereigngroup.com/sovereign-stories/nicholas-cully-group-sales-director/
Sebastien Philipona — Head of Business Development, Malta &amp; Cyprus (Medium) https://www.sovereigngroup.com/staff/sebastien-philipona/
Ejaz Niazi — Head of Business Development, Sovereign Trust (Gibraltar) Ltd (Medium) https://www.sovereigngroup.com/staff/ejaz-niazi/</t>
  </si>
  <si>
    <t xml:space="preserve">TMF Group</t>
  </si>
  <si>
    <t xml:space="preserve">https://www.tmf-group.com</t>
  </si>
  <si>
    <t xml:space="preserve">Amsterdam, Netherlands</t>
  </si>
  <si>
    <t xml:space="preserve">profile_fit: Global entity-management/corporate secretarial leader - ideal client type, but enterprise-scale and own-entity model.
recurring_client_potential: Multinational clients with recurring compliance needs; any Moldova entity for them would generate ongoing legal work.
local_legal_partner_cooperation: Operates own entities; no public local-partner programme; only LAWorld distribution-type tie found.
moldova_commercial_interest: Genuine gap next to Romania/Ukraine, but no sign TMF plans Moldova coverage; ASSUMPTION: ad-hoc client requests exist.
decision_maker_accessibility: Regional heads named in press, but large corporate; access likely only via Romania office/procurement.</t>
  </si>
  <si>
    <t xml:space="preserve">yes - very active; Nordgain acquisition effective 3 Oct 2025, Estonia office Mar 2026, Vilnius client event May 2026 —  [High] https://www.tmf-group.com/en/news-insights/press-releases/tmf-group-acquires-nordgain/
https://www.baltictimes.com/tmf_group_expands_into_estonia_following_its_acquisition_of_nordgain
https://www.tmf-group.com/en/news-insights/events-webinars/tmf-group-nordgain-client-reception-celebrating-new-chapter-baltics/</t>
  </si>
  <si>
    <t xml:space="preserve">Enterprise corporate secretarial, entity management, accounting &amp; tax, HR/payroll, fund/capital markets administration</t>
  </si>
  <si>
    <t xml:space="preserve">yes — 125+ offices in 87 jurisdictions (own locations and regulatory status pages). [High] https://www.tmf-group.com/en/locations/
https://www.tmf-group.com/en/legal/regulatory-status</t>
  </si>
  <si>
    <t xml:space="preserve">No Moldova page or office in results; nearest office Bucharest, Romania (America House, Country Manager Gabriel Sincu).</t>
  </si>
  <si>
    <t xml:space="preserve">https://www.tmf-group.com/en/locations/emea/romania
https://mediafax.ro/comunicate/tmf-group-a-leading-provider-of-compliance-and-administrative-services-22555939/amp</t>
  </si>
  <si>
    <t xml:space="preserve">limited evidence — 2025 partnership agreement with LAWorld (network of independent law firms) making TMF available to LAWorld members and clients - TMF sells to law-firm networks rather than sourcing local counsel; no partner programme for non-office jurisdictions found. [Low] WebSearch summary 'TMF Group partner network' 2026-10-08 (LAWorld announcement; URL not shown)
https://www.tmf-group.com/en/locations/</t>
  </si>
  <si>
    <t xml:space="preserve">yes — Accounting, legal/secretarial, tax, payroll, HR in Romania and group-wide. https://www.tmf-group.com/en/locations/emea/romania</t>
  </si>
  <si>
    <t xml:space="preserve">None - recurring entity management model.</t>
  </si>
  <si>
    <t xml:space="preserve">+31 20 575 5600 (third-party only)</t>
  </si>
  <si>
    <t xml:space="preserve">not verified</t>
  </si>
  <si>
    <t xml:space="preserve">Gabriel Sincu — Country Manager Romania (Nov 2024 press release) (Medium (may be outdated)) https://mediafax.ro/comunicate/tmf-group-a-leading-provider-of-compliance-and-administrative-services-22555939/amp
Jan Willem van Drimmelen — Head of Europe (Medium) https://www.tmf-group.com/en/news-insights/press-releases/tmf-group-acquires-nordgain/
Agnė Jasinskaitė — Country Head of the Baltics (Medium) https://www.baltictimes.com/tmf_group_expands_into_estonia_following_its_acquisition_of_nordgain</t>
  </si>
  <si>
    <t xml:space="preserve">GSL (GSL Law &amp; Consulting group)</t>
  </si>
  <si>
    <t xml:space="preserve">https://gsl.org</t>
  </si>
  <si>
    <t xml:space="preserve">Moscow, Russia (head office; Russian-language site, Moscow contact page, +7 phone); also registered entities e.g. GSL Law &amp; Consulting (Hong Kong) Ltd; London office since 2002</t>
  </si>
  <si>
    <t xml:space="preserve">profile_fit: Multi-jurisdiction formation plus tax/legal; but it is a competing law firm with heavy offshore/package orientation.
recurring_client_potential: Already sells Moldova packages with annual compliance fees, so each sale implies recurring local work; client base is Russia-origin, which raises compliance cost.
local_legal_partner_cooperation: States it works through trusted foreign partners; no program; likely already has a Moldovan agent (unknown).
moldova_commercial_interest: Explicit Moldova formation and tax pages with pricing - clear existing commercial interest.
decision_maker_accessibility: Managing partner named on own site; Moscow-centric contacts; office staff listings partly outdated.</t>
  </si>
  <si>
    <t xml:space="preserve">yes - active 2025-2026 —  [High] https://gsl.org/ru/press-center/corporate-news/gsl-law-consulting-v-rejtinge-luchshih-yuridicheskih-firm-i-yuristov-private-wealth-2026-id-kommersant/
https://gsl.org/ru/press-center/corporate-news/gsl-law-consulting-v-rejtinge-wealth-navigator-2026/</t>
  </si>
  <si>
    <t xml:space="preserve">Russian-origin law, tax, audit and consulting group: offshore/onshore company registration (claims 20,000+ companies in 81 countries), international tax structuring, bank account introductions, foreign-trade (VED) support, relocation, Russian law practice. It is itself a law firm (Russian 'advokat' partners), not a pure CSP.</t>
  </si>
  <si>
    <t xml:space="preserve">yes — Offices claimed: London, Moscow, Limassol/Nicosia, Hong Kong, Budapest, Bali, Phuket, Istanbul, Dubai, Riga, Oradea (Romania), Tortola, Mahe, Andorra, California; registers in 70-80+ countries (self-claim). [Medium] https://gsl.org/en/offshore/
https://gsl.org/en/contacts/
https://www.gsl.org/ru/</t>
  </si>
  <si>
    <t xml:space="preserve">Moldova page: incorporation or shelf company, registered office, apostilled docs, secretarial, bank pre-approval; EUR 2,000 incl. state fees; compliance fee USD 385; 1-3 workdays LLC. Also Moldova tax page. No Moldovan office listed -&gt; almost certainly delivered via a local partner (ASSUMPTION).</t>
  </si>
  <si>
    <t xml:space="preserve">High</t>
  </si>
  <si>
    <t xml:space="preserve">https://gsl.org/en/offshore/offshore-zones/eastern-europe/moldova/
https://gsl.org/ru/taxes/moldova/</t>
  </si>
  <si>
    <t xml:space="preserve">yes (general) — States 'many trusted partners in different countries' and 'direct representation in several popular jurisdictions'; historically ran international conferences (2003-2006) connecting Russian clients with foreign banks, trust companies and law firms. No partner programme page. [Medium] https://gsl.org/en/offshore/
https://gsl.org/en/international/2003-1/</t>
  </si>
  <si>
    <t xml:space="preserve">yes — Annual compliance/administration fees, secretarial, audit (GSL Audit), tax reporting, legal advice, bank account support. https://gsl.org/en/offshore/offshore-zones/eastern-europe/moldova/
https://gsl.org/en/hello/</t>
  </si>
  <si>
    <t xml:space="preserve">Significant: fixed-price jurisdiction packages, shelf companies, 'offshore' framing (incl. Moldova labelled offshore), price comparison tables. Offset by tax/accounting/legal practices.</t>
  </si>
  <si>
    <t xml:space="preserve">gsl@gsl.org</t>
  </si>
  <si>
    <t xml:space="preserve">+7 495 234 3833 (Moscow); +44 (0)20 7822 8593 (London)</t>
  </si>
  <si>
    <t xml:space="preserve">https://gsl.org/en/contacts/</t>
  </si>
  <si>
    <t xml:space="preserve">Alexander Alekseev — Managing Partner, GSL Law &amp; Consulting (Medium) https://gsl.org/en/users/alexander-alekseev/ ; https://gsl.org/en/hello/
Aniko Sebok — Head of UK (London) office (Medium) https://gsl.org/en/contacts/
Maksim Gladyr — Head of Foreign Economic Activity (VED) department (Medium) https://gsl.org/ru/users/maksim-gladyr/</t>
  </si>
  <si>
    <t xml:space="preserve">Uniwide</t>
  </si>
  <si>
    <t xml:space="preserve">https://www.uniwide.com</t>
  </si>
  <si>
    <t xml:space="preserve">Dubai, UAE (group main office since 2023); EU office Riga, Latvia</t>
  </si>
  <si>
    <t xml:space="preserve">profile_fit: Multi-jurisdiction formation provider with Baltic/Russian-speaking base, but offshore-heavy and formation-led.
recurring_client_potential: Some recurring compliance/accounting, but much of the flow is one-off formation and bank introductions.
local_legal_partner_cooperation: Reported partner programme with referral/subcontractor models and reliance on local agents; not re-verified this run.
moldova_commercial_interest: No Moldova offer found; ASSUMPTION: Russian-speaking/Baltic client base could generate Moldova demand.
decision_maker_accessibility: Named Latvia head on own domain; contact page exists; no general email found.</t>
  </si>
  <si>
    <t xml:space="preserve">yes - own-domain pages indexed (about, team, Seychelles agent article, UAE recognition news) —  [Medium] https://www.uniwide.com/about/
https://www.uniwide.com/about/our-team/
https://www.uniwide.com/uniwide-advisors-recognised-as-one-of-the-most-promising-company-registration-consultants-in-the-uae/</t>
  </si>
  <si>
    <t xml:space="preserve">International company formation (incl. offshore), bank account support, registered office/agent, post-incorporation compliance, accounting</t>
  </si>
  <si>
    <t xml:space="preserve">yes — Offices Riga (2014), Seychelles (2015, licensed registered agent 2016), London (2019), Dubai (2023); 30+ jurisdictions per directory and agent 01 snippets. [Medium] https://www.uniwide.com/about/
https://www.uniwide.com/which-is-the-best-registered-agent-for-an-offshore-company-in-seychelles/
https://directory.partner.io/uniwide-biz</t>
  </si>
  <si>
    <t xml:space="preserve">No uniwide.com page mentioning Moldova surfaced in searches.</t>
  </si>
  <si>
    <t xml:space="preserve">WebSearch 'Uniwide company formation Moldova' 2026-10-08 (no uniwide.com result)</t>
  </si>
  <si>
    <t xml:space="preserve">reported (partner programme for law firms) - not re-confirmed this run — Agent 01 cites uniwide.com/partner-programme (referral and subcontractor models, aimed at law firms, banks, PSPs, tax advisers) and 'partnerships with local registration agents'. Re-check searches returned no uniwide.com partner page. [Low] https://www.uniwide.com/partner-programme/ (per agent 01; not re-surfaced)
https://www.uniwide.com/about/</t>
  </si>
  <si>
    <t xml:space="preserve">partial — Registered office/agent, post-incorporation compliance and accounting listed (directory description). https://directory.partner.io/uniwide-biz</t>
  </si>
  <si>
    <t xml:space="preserve">Strong formation/offshore orientation (Seychelles, offshore centres, bank account opening) - partly one-off registration selling; compliance/accounting offered as add-ons.</t>
  </si>
  <si>
    <t xml:space="preserve">+371 6611 8787 (Riga); +44 (0)20 4501 0600 (London) - per agent 01, not re-checked</t>
  </si>
  <si>
    <t xml:space="preserve">https://www.uniwide.com/contact/</t>
  </si>
  <si>
    <t xml:space="preserve">Jurgis Naunikas — Head of Office, Latvia (Medium) https://www.uniwide.com/about/our-team/
Alexei Kariakin — General Manager, Uniwide Advisors (per Siliconindia interview, search summary) (Low) Siliconindia interview (URL not shown in snippet); see https://www.uniwide.com/uniwide-advisors-recognised-as-one-of-the-most-promising-company-registration-consultants-in-the-uae/</t>
  </si>
  <si>
    <t xml:space="preserve">Vistra (incl. Tricor; acquired Biz Latin Hub)</t>
  </si>
  <si>
    <t xml:space="preserve">https://www.vistra.com</t>
  </si>
  <si>
    <t xml:space="preserve">Hong Kong (19/F, Lee Garden One, 33 Hysan Avenue, Causeway Bay)</t>
  </si>
  <si>
    <t xml:space="preserve">profile_fit: Top-tier recurring corporate services provider, but enterprise scale and own-office model limit fit with a small Moldovan law office.
recurring_client_potential: If engaged, clients would need ongoing entity management in Moldova (secretarial, compliance, payroll). ASSUMPTION: low Moldova volume; potential only if Vistra needs a Moldova provider.
local_legal_partner_cooperation: No public evidence of law-firm partner network; 170+ country claim suggests third-party providers but unverified.
moldova_commercial_interest: Moldova gap next to Romania office; client demand for Moldova not evidenced.
decision_maker_accessibility: Large group; only C-level/regional names found, relevant procurement/partnerships contact not found.</t>
  </si>
  <si>
    <t xml:space="preserve">yes - very active: CEO appointment (Kim Jenkins, July 2025), Chief AI &amp; Digital Officer (Apr 2026), EVP Americas (June 2026), G-P (Mar 2026) and Oyster (Apr 2026) partnerships, Vistra Latam launch (June 2026) —  [High] https://www.vistra.com/insights/vistra-appoints-kim-jenkins-group-chief-executive-officer
https://www.vistra.com/insights/vistra-launches-partnership-g-p-bridge-eor-and-entity-based-expansion-and-simplify
https://cfotech.news/story/vistra-launches-latam-unit-after-biz-latin-hub-deal</t>
  </si>
  <si>
    <t xml:space="preserve">Global corporate services (entity management, company secretarial, accounting, payroll, international expansion), fund administration and private client services.</t>
  </si>
  <si>
    <t xml:space="preserve">yes — 50+ markets, 9,000+ colleagues; claims coverage of 170+ countries via Vistra Global Solutions; CEE offices incl. Poland and Romania (Bucharest, Vistra Professional Services SRL). [High] https://careers.vistra.com/
https://www.vistra.com/vgs
https://www.vistra.com/locations/emea/romania
https://www.vistra.com/locations/emea/poland</t>
  </si>
  <si>
    <t xml:space="preserve">Only Moldova mention on vistra.com is in an apostille-country list. No Moldova office/service page found. (Name coincidence: Kristopher Moldovan is CFO of Vistra Corp - unrelated US energy company.)</t>
  </si>
  <si>
    <t xml:space="preserve">https://www.vistra.com/speciality-services/legalisation/apostille-faqs</t>
  </si>
  <si>
    <t xml:space="preserve">unclear — Vistra states it is not a law firm and has no notaries/solicitors on staff; claims 170+ country coverage (ASSUMPTION: non-office countries served via third-party providers, possibly law firms). Public partnerships found are EOR (G-P, Oyster), not law firms. Pre-acquisition affiliate arrangement with Biz Latin Hub. [Low] https://www.vistra.com/speciality-services/legalisation/apostille-faqs
https://www.vistra.com/vgs
https://www.vistra.com/insights/vistra-and-oyster-partner-expand-global-workforce-solutions</t>
  </si>
  <si>
    <t xml:space="preserve">yes — Entity management, company secretarial, accounting/compliance, payroll/HR, nominee directors (e.g., Romania). https://www.vistra.com/locations/emea/romania
https://www.vistra.com/corporate/entity-management-solution</t>
  </si>
  <si>
    <t xml:space="preserve">None significant - enterprise recurring-services model.</t>
  </si>
  <si>
    <t xml:space="preserve">+852 2521 3661 (HQ); Romania +40 21 311 8815</t>
  </si>
  <si>
    <t xml:space="preserve">https://www.vistra.com/contact-form</t>
  </si>
  <si>
    <t xml:space="preserve">Kim Jenkins — Group Chief Executive Officer (from July 2025) (High) https://www.vistra.com/insights/vistra-appoints-kim-jenkins-group-chief-executive-officer
Steven van Tuijl — Regional Managing Director, Continental Europe (appointed June 2021 - may be outdated) (Medium) https://vistra.com/insights/vistra-appoints-steven-van-tuijl-regional-managing-director-continental-europe</t>
  </si>
  <si>
    <t xml:space="preserve">Virtuzone</t>
  </si>
  <si>
    <t xml:space="preserve">https://virtuzone.com</t>
  </si>
  <si>
    <t xml:space="preserve">Dubai, UAE (owned by Ascentium, Singapore, since Jan 2025)</t>
  </si>
  <si>
    <t xml:space="preserve">profile_fit: Large corporate service provider with recurring services, but its core is UAE inbound formation, not CEE coverage.
recurring_client_potential: Big client base (75-80k entrepreneurs claimed). Some are CIS/Moldovan founders who may need home-country legal work. The flow towards Moldova is speculative.
local_legal_partner_cooperation: It has a track record of a JV with a law firm (Seven Pillars), but the current public scheme is a generic paid-referral programme.
moldova_commercial_interest: No Moldova service; the CIS JV status is unknown. Ascentium is now entering Europe (PL/DE/IT), which is a weak, indirect signal.
decision_maker_accessibility: Senior names are known from press, but it is a large corporate under new PE-backed ownership, with no partnerships head identified.</t>
  </si>
  <si>
    <t xml:space="preserve">yes - active — Acquisition by Ascentium reported 22 Jan 2025 (Enterprise AM, Gulf Business); referral platform live; agent 01 found 2025 regulatory content on site. [High] https://enterpriseam.com/uae/2025/01/22/singapores-ascentium-is-the-new-owner-of-dubai-based-virtuzone/
https://gulfbusiness.com/en/2025/dubai/virtuzone-has-been-acquired-by-singapore-based-ascentium/
https://referral.virtuzone.com/</t>
  </si>
  <si>
    <t xml:space="preserve">UAE company formation (mainland/free zone), corporate services, tax &amp; accounting, Golden Visa, banking, compliance &amp; legal, trademarks; sister brands Taxready, Next Generation Equity, Maktabi</t>
  </si>
  <si>
    <t xml:space="preserve">UAE-centred; parent Ascentium in 27 markets (after April 2026 Dezan Shira acquisition, incl. Poland, Germany, Italy) — Virtuzone's offshore page lists 5 jurisdictions (per agent 01); Ascentium acquired Dezan Shira in April 2026 -&gt; 27 markets; earlier 23 markets/45 cities (Dec 2025); also acquired Clara (ADGM, Feb 2026), ZICO (Aug 2025). [Medium] https://www.china-briefing.com/news/ascentium-acquires-dezan-shira-associates-expanding-its-footprint-to-27-markets-and-strengthening-corporate-services-capabilities/
https://www.aap.com.au/aapreleases/cision20251210ae41303</t>
  </si>
  <si>
    <t xml:space="preserve">No Moldova formation service found. A CIS-focused JV (Virtuzone CIS with Seven Pillars Law, AIFC Astana) covered CIS/Central Asia c.2020; its current status was not found.</t>
  </si>
  <si>
    <t xml:space="preserve">https://virtuzone.com/press-release/virtuzone-and-seven-pillars-law-create-joint-venture-virtuzone-cis/</t>
  </si>
  <si>
    <t xml:space="preserve">yes (historic) - JV with law firm Seven Pillars Law — Virtuzone CIS JV with Seven Pillars (Central Asian law firm founded by Mark Beer) for formation + legal across CIS/Central Asia; chairman Neil Petch quoted on need for local partners. Public referral platform pays a fixed fee per referred client (AED 3,000 setup / AED 1,500 corporate services, 'estimates may vary') - this is inbound referral to UAE, not a law-firm partnership. [Medium] https://virtuzone.com/press-release/virtuzone-and-seven-pillars-law-create-joint-venture-virtuzone-cis/
https://referral.virtuzone.com/</t>
  </si>
  <si>
    <t xml:space="preserve">yes — Tax and accounting, compliance and legal services, bank account opening, IT &amp; mail management, Golden Visa listed on referral platform; Taxready.ae sister brand. https://referral.virtuzone.com/</t>
  </si>
  <si>
    <t xml:space="preserve">Strong formation/package orientation (UAE setup), but complemented by tax, accounting, compliance and visa renewals.</t>
  </si>
  <si>
    <t xml:space="preserve">info@virtuzone.com</t>
  </si>
  <si>
    <t xml:space="preserve">+971 4 457 8200</t>
  </si>
  <si>
    <t xml:space="preserve">https://virtuzone.com/contactus</t>
  </si>
  <si>
    <t xml:space="preserve">George Hojeige — CEO / Group CEO, Virtuzone (as quoted in Jan 2025 acquisition coverage) (Medium) https://gulfbusiness.com/en/2025/dubai/virtuzone-has-been-acquired-by-singapore-based-ascentium/
Neil Petch — Co-founder and Chairman, Virtuzone (Jan 2025) (Medium) https://mena.entrepreneur.com/finance/virtuzone-taken-over-by-singapores-ascentium/485837
Lennard Yong — CEO, Ascentium (parent) (Medium) https://mena.entrepreneur.com/finance/virtuzone-taken-over-by-singapores-ascentium/485837
Paul Bryson — Managing Director (appointed June 2023; current status not confirmed) (Low) https://gulfnews.com/business/corporate-news/virtuzone-names-paul-bryson-as-managing-director-as-part-of-growth-push-1.1687348960666</t>
  </si>
  <si>
    <t xml:space="preserve">Riz &amp; Mona Consultancy</t>
  </si>
  <si>
    <t xml:space="preserve">https://www.rizmona.com</t>
  </si>
  <si>
    <t xml:space="preserve">Business Bay, Dubai, UAE</t>
  </si>
  <si>
    <t xml:space="preserve">profile_fit: A small UAE-only setup consultancy with a mainly one-off service mix; it is international only through associates.
recurring_client_potential: Some recurring accounting/VAT work, but the flow of clients towards Moldova is unproven.
local_legal_partner_cooperation: It explicitly works through associate firms abroad, so adding a Moldova associate is conceivable.
moldova_commercial_interest: It only wrote about the UAE-Moldova visa deal; no service or demand signal.
decision_maker_accessibility: A founder-led firm with the CEO named in its own brochure; direct contacts are published.</t>
  </si>
  <si>
    <t xml:space="preserve">yes - active — Own domain has an Aug 2025 news item on UAE-Moldova visa-free travel (per agent 01) and a media page listing a 2025 'IBGME acquisition' and a KSA expansion; 2024 ProPakistani article. [Medium] https://www.rizmona.com/media/
https://www.rizmona.com/news/uae-moldova-sign-mutual-visa-free-travel-agreement-in-abu-dhabi/
https://propakistani.pk/2024/09/10/how-businesses-can-save-on-high-taxes-this-company-is-helping-pakistanis-set-up-their-business-in-dubai/amp/</t>
  </si>
  <si>
    <t xml:space="preserve">Dubai business setup: company registration, licences, visas, bank accounts, PRO, trademark/product registration, accounting/bookkeeping, VAT and corporate tax compliance</t>
  </si>
  <si>
    <t xml:space="preserve">limited - UAE plus associate-firm network (SG, MY, MU, KSA named) — Who We Are page: services worldwide through a network of associate firms. [Medium] https://www.rizmona.com/who-we-are/</t>
  </si>
  <si>
    <t xml:space="preserve">Only a visa-free news item mentions Moldova.</t>
  </si>
  <si>
    <t xml:space="preserve">https://www.rizmona.com/news/uae-moldova-sign-mutual-visa-free-travel-agreement-in-abu-dhabi/</t>
  </si>
  <si>
    <t xml:space="preserve">unclear — 'Network of associate firms' abroad, type not specified; no law-firm partner page found. [Low] https://www.rizmona.com/who-we-are/</t>
  </si>
  <si>
    <t xml:space="preserve">partial — Accounting/bookkeeping, VAT and corporate tax compliance and post-licence support are claimed on its own site. https://www.rizmona.com/who-we-are/
https://rizmona.com/offers/business-setup-consultants</t>
  </si>
  <si>
    <t xml:space="preserve">Strong: setup-package marketing ('offers' landing pages), visa/licence focus; many clients are one-time setups.</t>
  </si>
  <si>
    <t xml:space="preserve">info@rizmona.com</t>
  </si>
  <si>
    <t xml:space="preserve">+971 4 558 6339; WhatsApp +971 54 582 1012</t>
  </si>
  <si>
    <t xml:space="preserve">https://www.rizmona.com/contact-us/</t>
  </si>
  <si>
    <t xml:space="preserve">Rizwan Chaudhary — CEO &amp; Founder (co-founded with wife Mona) (Medium) https://www.rizmona.com/assets/docs/rizmona.pdf</t>
  </si>
  <si>
    <t xml:space="preserve">Creation Business Consultants</t>
  </si>
  <si>
    <t xml:space="preserve">https://www.creationbc.com</t>
  </si>
  <si>
    <t xml:space="preserve">Dubai, UAE (offices DIFC, ADGM licence, Riyadh, Hong Kong, Melbourne)</t>
  </si>
  <si>
    <t xml:space="preserve">profile_fit: A solid corporate-services firm, but GCC/Asia-focused with no European footprint.
recurring_client_potential: Recurring CSP/tax work exists, but it is inside the GCC; little flow towards Moldova.
local_legal_partner_cooperation: No evidence of cooperation with foreign law firms.
moldova_commercial_interest: No signal at all.
decision_maker_accessibility: Founder-MD publicly named; a mid-size firm.</t>
  </si>
  <si>
    <t xml:space="preserve">yes - active — ADGM CSP licence (Gulf News / Zawya); 2025 DIFC expansion release; 2024 tax structuring award; 2026 Monash alumni profile of founder. [Medium] https://gulfnews.com/business/corporate-news/creation-business-consultants-expands-uae-corporate-service-capabilities-with-adgm-licence-1.500682234
https://www.creationbc.com/news/creation-bc-wins-best-corporate-tax-structuring-experts-2024-middle-east-award/
https://www.monash.edu/business/alumni/alumni-community/alumni-stories/scott-cairns</t>
  </si>
  <si>
    <t xml:space="preserve">GCC market entry, company formation, restructuring, tax planning/corporate tax, accounting, corporate services, ADGM/DIFC CSP</t>
  </si>
  <si>
    <t xml:space="preserve">yes - GCC + offshore + HK — Locations page 'over 10 countries'; GCC, Egypt, HK, BVI, Cayman etc. [Medium] https://www.creationbc.com/locations/</t>
  </si>
  <si>
    <t xml:space="preserve">No Moldova or CEE coverage found.</t>
  </si>
  <si>
    <t xml:space="preserve">https://www.creationbc.com/locations/</t>
  </si>
  <si>
    <t xml:space="preserve">not found — No law-firm partner/local counsel programme found. [Low] </t>
  </si>
  <si>
    <t xml:space="preserve">yes — ADGM CSP: registered office and ongoing filings; corporate tax filing; accounting. https://gulfnews.com/business/corporate-news/creation-business-consultants-expands-uae-corporate-service-capabilities-with-adgm-licence-1.500682234
https://uae-corporate-tax.creationbc.com/</t>
  </si>
  <si>
    <t xml:space="preserve">Moderate: formation-led, but restructuring/tax/CSP services are ongoing.</t>
  </si>
  <si>
    <t xml:space="preserve">info@creationbc.com</t>
  </si>
  <si>
    <t xml:space="preserve">+971 4 878 6240; +966 11 434 3300</t>
  </si>
  <si>
    <t xml:space="preserve">https://www.creationbc.com/contact-us/</t>
  </si>
  <si>
    <t xml:space="preserve">Scott Cairns — Founder &amp; Managing Director (Medium) https://www.monash.edu/business/alumni/alumni-community/alumni-stories/scott-cairns</t>
  </si>
  <si>
    <t xml:space="preserve">No clear mutual model: GCC/Asia-only focus, no CEE or law-firm cooperation signals.</t>
  </si>
  <si>
    <t xml:space="preserve">Tetra Consultants</t>
  </si>
  <si>
    <t xml:space="preserve">https://www.tetraconsultants.com</t>
  </si>
  <si>
    <t xml:space="preserve">Singapore (67 Ubi Crescent, per agent 01)</t>
  </si>
  <si>
    <t xml:space="preserve">profile_fit: Global formation/licensing shop, Asia-centred; corporate services exist but are formation-led.
recurring_client_potential: Some recurring accounting/compliance, mostly in Singapore; foreign formations look largely one-off.
local_legal_partner_cooperation: No partner programme found; reliance on local agents is only assumed.
moldova_commercial_interest: No Moldova or nearby (RO/UA) pages; Georgia/Latvia presence shows some Eastern Europe interest.
decision_maker_accessibility: No named decision makers found; generic enquiry email only.</t>
  </si>
  <si>
    <t xml:space="preserve">yes - active indexed pages (jurisdictions, licences, blog, Georgia case study) —  [Medium] https://www.tetraconsultants.com/jurisdictions/register-company-in-singapore/
https://www.tetraconsultants.com/jurisdictions/register-company-in-georgia/case-study</t>
  </si>
  <si>
    <t xml:space="preserve">Company registration worldwide, financial/gaming licences (Labuan, Isle of Man, EMI Malaysia), bank account opening, nominee services, accounting &amp; tax</t>
  </si>
  <si>
    <t xml:space="preserve">yes — Register-company pages for Singapore, Georgia, Latvia, Cayman, USA, Canada, Bermuda, Dominica; licence pages Labuan/Isle of Man/Malaysia. [Medium] https://www.tetraconsultants.com/video/register-company-in-latvia/
https://www.tetraconsultants.com/jurisdictions/register-company-in-georgia/case-study
https://www.tetraconsultants.com/video/isle-of-man-gaming-license/</t>
  </si>
  <si>
    <t xml:space="preserve">No tetraconsultants.com Moldova/Romania/Ukraine pages surfaced.</t>
  </si>
  <si>
    <t xml:space="preserve">WebSearch site:tetraconsultants.com 2026-10-08</t>
  </si>
  <si>
    <t xml:space="preserve">not found — No partner/referral page found. Georgia case study mentions offering 'legal advisory services' (delivery model unclear). ASSUMPTION: smaller jurisdictions served via local agents. [Low] https://www.tetraconsultants.com/jurisdictions/register-company-in-georgia/case-study</t>
  </si>
  <si>
    <t xml:space="preserve">partial — Bookkeeping, tax compliance, Singapore compliance officer, ongoing tax/accounting/legal advisory (Georgia case). https://www.tetraconsultants.com/jurisdictions/register-company-in-singapore/company-incorporation/
https://www.tetraconsultants.com/jurisdictions/register-company-in-georgia/case-study</t>
  </si>
  <si>
    <t xml:space="preserve">Strong - formation/licence packages, nominee directors, 'reply within 24 hours' free consultation, offshore set-ups.</t>
  </si>
  <si>
    <t xml:space="preserve">enquiry@tetraconsultants.com</t>
  </si>
  <si>
    <t xml:space="preserve">InCorp Global (rebranding to Ascentium)</t>
  </si>
  <si>
    <t xml:space="preserve">https://www.incorp.asia</t>
  </si>
  <si>
    <t xml:space="preserve">Singapore (36 Robinson Road, #20-01 City House); part of Ascentium group (Singapore)</t>
  </si>
  <si>
    <t xml:space="preserve">profile_fit: Recurring corporate services provider but APAC-only; not a multi-country formation seller into Europe.
recurring_client_potential: Recurring model, but Moldova-bound flow from APAC clients would be rare (ASSUMPTION).
local_legal_partner_cooperation: Partners are chambers/accounting networks; no law-firm cooperation evidence.
moldova_commercial_interest: No Moldova presence or demand signal.
decision_maker_accessibility: Group and country CEOs named, but large group mid-rebrand; no partnerships contact.</t>
  </si>
  <si>
    <t xml:space="preserve">yes - active; country entities rebranding to Ascentium through 2026 (Philippines Jul 2026, India Sep 2026, Singapore Oct 2026) —  [High] https://www.uniindia.com/prnewswire/incorp-india-completes-rebrand-to-ascentium-aligning-domestic-growth-with-global-strategy-302891233/195346
https://macaubusiness.com/incorp-philippines-rebrands-to-ascentium-philippines-reinforcing-commitment-to-a-growing-market/
https://www.thailand-business-news.com/?p=332216</t>
  </si>
  <si>
    <t xml:space="preserve">APAC corporate services: incorporation, corporate secretarial, accounting/tax, payroll, immigration.</t>
  </si>
  <si>
    <t xml:space="preserve">yes (APAC) — 9 APAC markets. Parent Ascentium: 3,000+ professionals, 27 markets, incl. Harneys Fiduciary (BVI, Cayman, Cyprus, HK, Singapore, UK), Virtuzone (UAE), Dezan Shira, MGI Dobbyn Carafa. [Medium] https://www.incorp.asia/about/
https://www.cekindo.com/blog/incorp-is-becoming-ascentium
https://kyodonewsprwire.jp/release/202504097131</t>
  </si>
  <si>
    <t xml:space="preserve">No Moldova pages on incorp.asia; 'Ascentium Moldova' search returned nothing relevant.</t>
  </si>
  <si>
    <t xml:space="preserve">https://www.incorp.asia/about/</t>
  </si>
  <si>
    <t xml:space="preserve">unclear — Partners page lists chambers and networks (Dutch Chambers, Ebury, PrimeGlobal 100+ countries); no law-firm alliance evidence. [Low] https://www.incorp.asia/about/our-partners/</t>
  </si>
  <si>
    <t xml:space="preserve">yes — Corporate secretarial, accounting, tax, payroll, immigration. https://www.incorp.asia/</t>
  </si>
  <si>
    <t xml:space="preserve">Low - recurring secretarial/accounting model.</t>
  </si>
  <si>
    <t xml:space="preserve">+65 8699 8821 (WhatsApp)</t>
  </si>
  <si>
    <t xml:space="preserve">https://www.incorp.asia/contact-us/</t>
  </si>
  <si>
    <t xml:space="preserve">Wendy Wang — Group CEO, InCorp Global (leadership page, snapshot ~14 months old) (Medium) https://www.incorp.asia/about/our-leadership/
Lennard Yong — Group CEO, Ascentium (April 2025 release); Chairman of InCorp Global (2024) (Medium) https://kyodonewsprwire.jp/release/202504097131</t>
  </si>
  <si>
    <t xml:space="preserve">No clear mutual model: APAC-only footprint, no Moldova/Europe demand evidence. Revisit at Ascentium group level (Cyprus/UK fiduciary) if needed.</t>
  </si>
  <si>
    <t xml:space="preserve">Avyanco</t>
  </si>
  <si>
    <t xml:space="preserve">https://avyanco.com</t>
  </si>
  <si>
    <t xml:space="preserve">Dubai, UAE</t>
  </si>
  <si>
    <t xml:space="preserve">profile_fit: Real corporate services but UAE-focused; not a multi-country formation network.
recurring_client_potential: Recurring UAE accounting/tax clients; little evidence of outbound flows to Eastern Europe.
local_legal_partner_cooperation: No partner/local counsel model found.
moldova_commercial_interest: No Moldova or European interest found beyond UK.
decision_maker_accessibility: Founder/CEO named on own site; email and phone published.</t>
  </si>
  <si>
    <t xml:space="preserve">yes - active (team/author pages, 2024 Gulf press, 11,500+ businesses served claim) —  [Medium] https://avyanco.com/author/jashvantkumar-prajapati/
https://avyanco.com/meet-our-team/
https://gulftoday.ae/business/2024/10/02/avyanco-pioneering-business-set-up-and-tax-consultancy-in-the-uae-with-over-two-decades-of-expertise</t>
  </si>
  <si>
    <t xml:space="preserve">UAE business set-up (mainland/free zones), tax consultancy, accounting, audit, compliance, immigration; minor UK/KSA set-up</t>
  </si>
  <si>
    <t xml:space="preserve">limited — UAE core; UK Ltd and Saudi MISA set-up pages and BVI guide (agent 01); site self-describes as UAE-focused. [Medium] https://avyanco.com/business-setup-in-saudi-arabia/
https://avyanco.com/bvi-company-formation-guide/</t>
  </si>
  <si>
    <t xml:space="preserve">No avyanco.com Europe/Moldova pages surfaced.</t>
  </si>
  <si>
    <t xml:space="preserve">WebSearch site:avyanco.com 2026-10-08</t>
  </si>
  <si>
    <t xml:space="preserve">not found — No partner/referral programme found. [Low] WebSearch 2026-10-08</t>
  </si>
  <si>
    <t xml:space="preserve">yes (UAE only) — Tax consultancy, accounting, auditing, compliance. https://gulftoday.ae/business/2024/10/02/avyanco-pioneering-business-set-up-and-tax-consultancy-in-the-uae-with-over-two-decades-of-expertise</t>
  </si>
  <si>
    <t xml:space="preserve">Setup packages typical of UAE free-zone sellers, but also recurring tax/accounting/audit.</t>
  </si>
  <si>
    <t xml:space="preserve">info@avyanco.com</t>
  </si>
  <si>
    <t xml:space="preserve">+971 50 398 9000; +44 7404 022740 (per agent 01)</t>
  </si>
  <si>
    <t xml:space="preserve">https://avyanco.com/contact-us/</t>
  </si>
  <si>
    <t xml:space="preserve">Jashvantkumar Prajapati — Founder &amp; CEO (Medium) https://avyanco.com/author/jashvantkumar-prajapati/</t>
  </si>
  <si>
    <t xml:space="preserve">No clear mutual model - UAE-focused provider with no CEE/Moldova activity or partner programme.</t>
  </si>
  <si>
    <t xml:space="preserve">IQ-EQ</t>
  </si>
  <si>
    <t xml:space="preserve">https://iqeq.com</t>
  </si>
  <si>
    <t xml:space="preserve">Luxembourg</t>
  </si>
  <si>
    <t xml:space="preserve">profile_fit: An institutional fund/trust administrator in major financial centres, not a cross-border SME formation provider.
recurring_client_potential: Recurring by nature, but its clients (funds, HNWIs) rarely need Moldova.
local_legal_partner_cooperation: No evidence of small-jurisdiction local-counsel networks.
moldova_commercial_interest: No CEE footprint or signal.
decision_maker_accessibility: A large PE-owned group; only the Group CEO is identifiable.</t>
  </si>
  <si>
    <t xml:space="preserve">yes - active — Own-domain news (2024); active careers; 6,500+ staff in 25 jurisdictions per newer materials. [Medium] https://iqeq.com/be/news/iq-eqs-group-ceo-named-in-eprivateclients-50-most-influential-for-2024/
https://iqeq.foleon.com/brochure/esg/about-iq-eq</t>
  </si>
  <si>
    <t xml:space="preserve">Fund administration, corporate (incorporation, domiciliation, directors, secretarial, accounting &amp; tax compliance), trust &amp; private client - institutional focus</t>
  </si>
  <si>
    <t xml:space="preserve">yes - 25 jurisdictions — European offices (Apr 2024): BE, CY, FR, GG, IE, IM, JE, LU, CH, NL, UK - no CEE. [Medium] https://iqeq.foleon.com/brochure/esg/about-iq-eq</t>
  </si>
  <si>
    <t xml:space="preserve">No CEE/Moldova presence found.</t>
  </si>
  <si>
    <t xml:space="preserve">https://iqeq.foleon.com/brochure/esg/about-iq-eq</t>
  </si>
  <si>
    <t xml:space="preserve">not found — No public law-firm partner programme found. ASSUMPTION: works with major international law firms on fund work. [Low] </t>
  </si>
  <si>
    <t xml:space="preserve">yes — Corporate secretarial, domiciliation, directors, accounting &amp; tax compliance, fund admin. https://iqeq.foleon.com/brochure/esg/about-iq-eq</t>
  </si>
  <si>
    <t xml:space="preserve">None; fully recurring model.</t>
  </si>
  <si>
    <t xml:space="preserve">+352 466 1111</t>
  </si>
  <si>
    <t xml:space="preserve">https://iqeq.com/lu/locations/luxembourg/</t>
  </si>
  <si>
    <t xml:space="preserve">Mark Pesco — Group CEO (latest confirmation Jan 2024) (Medium) https://iqeq.com/be/news/iq-eqs-group-ceo-named-in-eprivateclients-50-most-influential-for-2024/</t>
  </si>
  <si>
    <t xml:space="preserve">No clear mutual model: institutional fund-admin focus, no CEE/Moldova relevance.</t>
  </si>
  <si>
    <t xml:space="preserve">Sleek (Sleek Tech Pte Ltd)</t>
  </si>
  <si>
    <t xml:space="preserve">https://sleek.com</t>
  </si>
  <si>
    <t xml:space="preserve">Singapore</t>
  </si>
  <si>
    <t xml:space="preserve">profile_fit: Real recurring corporate services, but domestic-market SME platform in 4 non-European markets, not a cross-border formation house.
recurring_client_potential: Clients are local SMEs in SG/HK/AU/UK; few would need Moldova.
local_legal_partner_cooperation: Affiliate scheme is inbound referral only; no local-counsel model.
moldova_commercial_interest: No Moldova or CEE signal.
decision_maker_accessibility: Founders are public; partnerships email exists; scale-up likely unresponsive to small foreign law firm.</t>
  </si>
  <si>
    <t xml:space="preserve">yes - active 2025-2026 —  [High] https://sleek.com/uk/resources/sleek-vs-osome/
https://sleek.com/hk/resources/sleek-hong-kong-incorporation-overview/</t>
  </si>
  <si>
    <t xml:space="preserve">Digital incorporation, corporate secretary, accounting/bookkeeping, tax, payroll, business account for SMEs/startups.</t>
  </si>
  <si>
    <t xml:space="preserve">yes - 4 markets — Singapore, Hong Kong, Australia, UK (UK via acquisitions of Ltd Companies and Accounts Lab). [High] https://sleek.com/sg/about/
https://techround.co.uk/news/incorporation-service-for-smes-sleek-launches-in-uk-with-10-million-investment/</t>
  </si>
  <si>
    <t xml:space="preserve">No Moldova or CEE presence/pages found.</t>
  </si>
  <si>
    <t xml:space="preserve">https://sleek.com/sg/about/</t>
  </si>
  <si>
    <t xml:space="preserve">not found (inbound affiliate only) — Affiliate programme pays referrers SGD 300 per conversion (+SGD 1,000 per 10) for new clients sent TO Sleek; HK version applies only to new registrations. 'Partner perks' = vendor discounts. No outbound local-counsel network found. [High] https://sleek.com/sg/affiliates/
https://sleek.com/hk/affiliates/
https://sleek.com/hk/our-trusted-partners/</t>
  </si>
  <si>
    <t xml:space="preserve">yes — Subscription corporate secretary, bookkeeping, tax, payroll. https://sleek.com/sg/accounting-services-singapore/
https://sleek.com/uk/pricing/</t>
  </si>
  <si>
    <t xml:space="preserve">Moderate: UK arm (ex Ltd Companies) is a high-volume incorporation seller; mitigated by subscription accounting/secretary bundles.</t>
  </si>
  <si>
    <t xml:space="preserve">affiliates@sleek.com (affiliate programme)</t>
  </si>
  <si>
    <t xml:space="preserve">+65 6929 8273</t>
  </si>
  <si>
    <t xml:space="preserve">https://sleek.com/sg/</t>
  </si>
  <si>
    <t xml:space="preserve">Julien Labruyere — Co-founder &amp; CEO (title per 2021 announcement / undated Preqin profile - currency unverified) (Low) https://fintechnews.sg/58109/funding/sleek-extends-series-a-funding-round-to-us25-million/
Adrien Barthel — Co-founder (Low) https://techcrunch.com/2019/06/03/sleek/</t>
  </si>
  <si>
    <t xml:space="preserve">No clear mutual model: no Eastern Europe/Moldova relevance; only an inbound affiliate scheme for referrals to Sleek's 4 home markets.</t>
  </si>
  <si>
    <t xml:space="preserve">Shuraa Business Setup</t>
  </si>
  <si>
    <t xml:space="preserve">https://www.shuraa.com</t>
  </si>
  <si>
    <t xml:space="preserve">Dubai, UAE (5th Floor, Aspin Commercial Tower, Sheikh Zayed Road)</t>
  </si>
  <si>
    <t xml:space="preserve">profile_fit: UAE-inbound formation house; not a multi-country formation provider.
recurring_client_potential: Recurring services are UAE-only; Moldova-bound client flow unlikely.
local_legal_partner_cooperation: No law-firm partner model; only a paid customer referral scheme.
moldova_commercial_interest: No Moldova offering; only possible reverse flow (Moldovan clients to UAE).
decision_maker_accessibility: Founder and managing partner named in press; many public channels.</t>
  </si>
  <si>
    <t xml:space="preserve">yes - live with 2026-dated pages (e.g., VARA licence guide 2026, 'Best business setup consultants in Dubai (2026)') —  [Medium] https://www.shuraa.com/
https://www.shuraa.com/vara-license-in-dubai-uae/</t>
  </si>
  <si>
    <t xml:space="preserve">UAE business setup (mainland, free zones, offshore), PRO/visa services, tax &amp; accounting (Shuraa Tax &amp; Accounting Services L.L.C.).</t>
  </si>
  <si>
    <t xml:space="preserve">no (formation found only in UAE) — All formation pages UAE-only; offices in London, Amsterdam, Delhi/Mumbai serve client acquisition for UAE setup. Not found: non-UAE formation. [Medium] https://www.shuraa.com/company-formation-in-dubai-uae/
https://www.shuraa.co.uk/</t>
  </si>
  <si>
    <t xml:space="preserve">No Moldova formation page found; only visa-free list mention.</t>
  </si>
  <si>
    <t xml:space="preserve">https://www.shuraa.com/visa-free-countries-for-uae-residents/</t>
  </si>
  <si>
    <t xml:space="preserve">not found — Only a consumer-style referral scheme (Refer &amp; Earn, up to AED 3,000 per completed setup); referrers may not represent Shuraa. No law-firm alliance found. [Medium] https://referral.shuraa.com/
https://referral.shuraa.com/terms-and-conditions</t>
  </si>
  <si>
    <t xml:space="preserve">yes (UAE only) — VAT/corporate tax registration and filing, accounting, PRO, licence renewals. https://www.shuraa.com/tax-accounting/
https://www.shuraa.com/business-services-dubai-uae/</t>
  </si>
  <si>
    <t xml:space="preserve">Moderate: setup-package marketing, but has license renewals, PRO and tax/accounting recurring services in UAE.</t>
  </si>
  <si>
    <t xml:space="preserve">info@shuraa.com; UK: info.london@shuraa.co.uk / info@shuraa.co.uk (inconsistent)</t>
  </si>
  <si>
    <t xml:space="preserve">+971 4 408 1900; 800-SHURAA; UK +44 7538 205604</t>
  </si>
  <si>
    <t xml:space="preserve">https://www.shuraa.com/contact-us/</t>
  </si>
  <si>
    <t xml:space="preserve">Saeed Khalifa Mohammed Al Fuqaei — Founder and Chairman, Shuraa Group (Medium) https://gulfnews.com/business/corporate-news/uaes-shuraa-group-broadens-its-horizons-to-create-stronger-ties-1.1660723440180
Shahid Rather — Managing Partner, Shuraa Group (press; another caption names 'Shahid Shakeel' - needs check) (Low) https://khaleejtimes.com/kt-engage/kickstart-your-new-beginnings</t>
  </si>
  <si>
    <t xml:space="preserve">No clear mutual model: UAE-only formation, no need for Moldovan counsel; only one-way referral into UAE.</t>
  </si>
  <si>
    <t xml:space="preserve">SFM Corporate Services (SFM Offshore)</t>
  </si>
  <si>
    <t xml:space="preserve">https://www.sfmoffshore.com</t>
  </si>
  <si>
    <t xml:space="preserve">unclear - self-description on Feefo: Switzerland (Geneva), Dubai, Seychelles, Hong Kong; Dubai office Capricorn Tower, Sheikh Zayed Road</t>
  </si>
  <si>
    <t xml:space="preserve">profile_fit: Offshore/nominee retail formation agent; weak match to onshore long-term corporate services.
recurring_client_potential: Clients are offshore-structure buyers; little evidence of recurring onshore needs.
local_legal_partner_cooperation: No cooperation model found.
moldova_commercial_interest: No Moldova signal.
decision_maker_accessibility: No verified contacts or names.</t>
  </si>
  <si>
    <t xml:space="preserve">probably yes, current activity unverified —  [Low] https://www.feefo.com/reviews/sfm-offshore</t>
  </si>
  <si>
    <t xml:space="preserve">Offshore company formation, Dubai free-zone formation, nominee services, bank account opening, UAE residency, trusts/foundations (per Feefo self-description).</t>
  </si>
  <si>
    <t xml:space="preserve">yes (claimed) — Offices Switzerland, Dubai, Seychelles, Hong Kong; ~50 jurisdictions per third-party directory. [Low] https://www.feefo.com/reviews/sfm-offshore
https://www.jasminedirectory.com/business-marketing/detail,1856595773,sfm.html</t>
  </si>
  <si>
    <t xml:space="preserve">No Moldova mention in any result; own site not indexed in searches.</t>
  </si>
  <si>
    <t xml:space="preserve">not found — No introducer/partner/affiliate pages found. [Low] </t>
  </si>
  <si>
    <t xml:space="preserve">limited/unclear — Nominee services and annual renewals implied; no accounting/compliance services evidenced. https://www.feefo.com/reviews/sfm-offshore</t>
  </si>
  <si>
    <t xml:space="preserve">Strong: offshore formation + nominee + bank account opening retail model; reviews focus on single incorporations.</t>
  </si>
  <si>
    <t xml:space="preserve">Inactive/unverified: own site not verifiable, no 2026 activity, contacts only from third-party directories; offshore/nominee one-off orientation; no clear mutual model.</t>
  </si>
  <si>
    <t xml:space="preserve">Ранг в базе</t>
  </si>
  <si>
    <t xml:space="preserve">Формат сотрудничества</t>
  </si>
  <si>
    <t xml:space="preserve">Что предложить</t>
  </si>
  <si>
    <t xml:space="preserve">Кому обращаться (ЛПР)</t>
  </si>
  <si>
    <t xml:space="preserve">Публичный канал</t>
  </si>
  <si>
    <t xml:space="preserve">Возможные возражения</t>
  </si>
  <si>
    <t xml:space="preserve">Первый шаг</t>
  </si>
  <si>
    <t xml:space="preserve">network membership (Accace Circle) + local counsel / two-way referral</t>
  </si>
  <si>
    <t xml:space="preserve">Moldovan local counsel for Accace clients; legal component of company setup/changes; work/residence permit legal support; Romanian/Russian/English-language service</t>
  </si>
  <si>
    <t xml:space="preserve">Mihaela Pašek-Virlan — Partner and CEO (since early 2020) (Medium (own-domain snippet; page undated))
Alžbeta Košinár — Business Development &amp; Community Lead, Accace Circle (Medium)</t>
  </si>
  <si>
    <t xml:space="preserve">not verified on own domain (agent 01 directory emails slovakia@accace.com / czechrepublic@accace.com remain unverified)
not verified (accace.com unreachable: ENOTFOUND)</t>
  </si>
  <si>
    <t xml:space="preserve">May already have a Moldovan Circle member/provider
Prefers BPO firms over law firms for Circle
Centralised account management may require pricing/SLA alignment
Volume of Moldova work may be small</t>
  </si>
  <si>
    <t xml:space="preserve">Identify via a written enquiry to Accace Circle (Business Development &amp; Community Lead) who delivers Moldova today and whether a legal partner slot exists.</t>
  </si>
  <si>
    <t xml:space="preserve">local counsel / two-way referral (white-label subcontracting possible for corporate admin)</t>
  </si>
  <si>
    <t xml:space="preserve">Moldova local counsel: company formation, corporate maintenance, employment law, contract review, regulatory opinions; a combined offer with a Moldovan accounting partner if needed</t>
  </si>
  <si>
    <t xml:space="preserve">Antonis Gavrielides — Managing Director (since June 2025; formerly Group CEO from Nov 2022) (Medium)
Irena Damianou — Managing Director (Nicosia); formerly Chief Marketing Officer / Board member (Medium)
Christodoulos (Chris) Damianou — Non-Executive Chairman (as of Gavrielides CEO appointment, 2022) - current role not re-confirmed (Low)</t>
  </si>
  <si>
    <t xml:space="preserve">info@eurofast.eu
not verified (eurofast.eu not fetchable)</t>
  </si>
  <si>
    <t xml:space="preserve">They may prefer to open their own office or acquire locally (expansion pattern)
They may already have an informal Moldova correspondent (not found)
Accounting-led firm may want an accounting partner rather than a law firm
Limited Moldova deal flow</t>
  </si>
  <si>
    <t xml:space="preserve">Introductory email to Irena Damianou / Antonis Gavrielides via info@eurofast.eu proposing Moldova correspondent coverage, with a short Moldova capability note; ask whether they get Moldova requests from the Bucharest/Kyiv offices</t>
  </si>
  <si>
    <t xml:space="preserve">network membership (affiliate) / two-way referral</t>
  </si>
  <si>
    <t xml:space="preserve">Moldova affiliate/local counsel role: SRL formation, corporate changes, legal address coordination, VAT/tax registration via accountant partners, residence permits</t>
  </si>
  <si>
    <t xml:space="preserve">Vlad Cuc — Co-founder and General Director, BridgeWest (per LinkedIn headline) (Low)</t>
  </si>
  <si>
    <t xml:space="preserve">office@bridgewest.eu
https://bridgewest.eu/contact/</t>
  </si>
  <si>
    <t xml:space="preserve">Existing Moldova affiliate may already be in place
Price pressure typical of formation networks
Shelf-company and offshore positioning may raise AML/reputational concerns
Unclear HQ/legal entity</t>
  </si>
  <si>
    <t xml:space="preserve">Apply via the 'Join Our Network' section / office@bridgewest.eu asking whether the Moldova affiliate slot is open; LinkedIn intro to Vlad Cuc</t>
  </si>
  <si>
    <t xml:space="preserve">white-label subcontracting / local counsel</t>
  </si>
  <si>
    <t xml:space="preserve">Local counsel / white-label execution for Moldova SRL formation, corporate changes, legal opinions, coordination with accountants and banks</t>
  </si>
  <si>
    <t xml:space="preserve">Aidan Healy — Founder / Managing Director (self-profile states semi-retired since 2018, relies on CEOs) (Medium)
Michel van Leeuwen — Group Chief Executive, Hawksford (as of Sept 2023 announcement) (Medium)</t>
  </si>
  <si>
    <t xml:space="preserve">healy@hawksford.com
https://www.healyconsultants.com/contact-us/</t>
  </si>
  <si>
    <t xml:space="preserve">Probably already has a Moldovan provider
Fixed-fee model squeezes subcontractor margins
Vendor onboarding/KYC requirements of Hawksford group
Group-level procurement decisions</t>
  </si>
  <si>
    <t xml:space="preserve">Email healy@hawksford.com (Moldova desk) offering local execution capacity; parallel LinkedIn outreach to Hawksford partnerships/Healy operations leads</t>
  </si>
  <si>
    <t xml:space="preserve">two-way referral</t>
  </si>
  <si>
    <t xml:space="preserve">Moldovan company formation and registered office, ongoing corporate/legal compliance, IT Park residency support, legal opinions on UAE-Moldova DTT use; in return Legitimus refers Moldovan founders seeking UAE setup</t>
  </si>
  <si>
    <t xml:space="preserve">Manu Thomas V — Managing Director, Commitbiz LLC (Medium)</t>
  </si>
  <si>
    <t xml:space="preserve">info@commitbiz.com (from agent 01; not re-confirmed in this check)
https://www.commitbiz.com/contact-us</t>
  </si>
  <si>
    <t xml:space="preserve">Low current Moldova demand
Their referral terms are a fixed template (20% fee) - may not suit a law firm's professional conduct rules on fee-sharing
Moscow office - sanctions/KYC screening required
Unclear whether Bucharest office is operational</t>
  </si>
  <si>
    <t xml:space="preserve">Email info@commitbiz.com / contact form addressed to MD Manu Thomas V proposing Legitimus as Moldova referral partner under their published referral agreement; ask how the Bucharest office handles Eastern European clients</t>
  </si>
  <si>
    <t xml:space="preserve">local counsel / white-label subcontracting</t>
  </si>
  <si>
    <t xml:space="preserve">Moldovan local agent/counsel: incorporation, registered office, UBO register filings, ongoing corporate secretarial, legal opinions, Moldovan real estate/asset due diligence; white-label delivery under Sovereign brand</t>
  </si>
  <si>
    <t xml:space="preserve">Gerry Kelly — Group Chief Executive Officer (Medium)
Howard Bilton — Group Chairman and founder (Medium)
Nicholas Cully — Group Sales Director (Medium)
Sebastien Philipona — Head of Business Development, Malta &amp; Cyprus (Medium)
Ejaz Niazi — Head of Business Development, Sovereign Trust (Gibraltar) Ltd (Medium)</t>
  </si>
  <si>
    <t xml:space="preserve">info@SovereignGroup.com; gib@SovereignGroup.com (from agent 01, not re-confirmed)
https://www.sovereigngroup.com/contact-us/</t>
  </si>
  <si>
    <t xml:space="preserve">Little Moldova demand in their client base
Likely already have CEE correspondents
Large-group vendor onboarding / KYC requirements
No published introducer terms</t>
  </si>
  <si>
    <t xml:space="preserve">Short introduction via contact page to Sebastien Philipona (Head of BD Malta &amp; Cyprus) or Nicholas Cully (Group Sales Director) offering Moldova local-agent coverage, with a one-page Legitimus capability note</t>
  </si>
  <si>
    <t xml:space="preserve">referral / local counsel</t>
  </si>
  <si>
    <t xml:space="preserve">Moldova local counsel / referral partner for TMF clients: entity setup, corporate housekeeping, employment law, legal opinions</t>
  </si>
  <si>
    <t xml:space="preserve">Gabriel Sincu — Country Manager Romania (Nov 2024 press release) (Medium (may be outdated))
Jan Willem van Drimmelen — Head of Europe (Medium)
Agnė Jasinskaitė — Country Head of the Baltics (Medium)</t>
  </si>
  <si>
    <t xml:space="preserve">not found
not verified</t>
  </si>
  <si>
    <t xml:space="preserve">Strict vendor onboarding and compliance
Prefers own entities or global alliances
Low Moldova volume
Contact through procurement rather than BD</t>
  </si>
  <si>
    <t xml:space="preserve">Written introduction to TMF Romania country management offering a Moldova local-counsel capability statement.</t>
  </si>
  <si>
    <t xml:space="preserve">white-label subcontracting / two-way referral</t>
  </si>
  <si>
    <t xml:space="preserve">Moldova SRL formation legal work, registered office via partner, legal opinions, corporate changes as subcontractor</t>
  </si>
  <si>
    <t xml:space="preserve">Jurgis Naunikas — Head of Office, Latvia (Medium)
Alexei Kariakin — General Manager, Uniwide Advisors (per Siliconindia interview, search summary) (Low)</t>
  </si>
  <si>
    <t xml:space="preserve">not found
https://www.uniwide.com/contact/</t>
  </si>
  <si>
    <t xml:space="preserve">Moldova not in current offer - demand unproven
Offshore/high-risk client profile (AML/KYC burden)
Partner programme unverified
Price sensitivity of formation clients</t>
  </si>
  <si>
    <t xml:space="preserve">Confirm the partner programme page and terms; propose Moldova as a new jurisdiction via the contact page.</t>
  </si>
  <si>
    <t xml:space="preserve">Local counsel for Moldovan entity set-up, corporate secretarial legal support, legal opinions, regulatory filings</t>
  </si>
  <si>
    <t xml:space="preserve">Kim Jenkins — Group Chief Executive Officer (from July 2025) (High)
Steven van Tuijl — Regional Managing Director, Continental Europe (appointed June 2021 - may be outdated) (Medium)</t>
  </si>
  <si>
    <t xml:space="preserve">not found
https://www.vistra.com/contact-form</t>
  </si>
  <si>
    <t xml:space="preserve">Enterprise vendor due diligence and insurance requirements
Low Moldova demand
Prefers own offices or large partners
Hard to reach the right buyer</t>
  </si>
  <si>
    <t xml:space="preserve">Approach Vistra Romania (Bucharest) team via contact form/phone proposing Moldova coverage for their clients</t>
  </si>
  <si>
    <t xml:space="preserve">Two-way referral; Moldova legal (subsidiary/branch setup, contracts, employment, tax-residency support) for Virtuzone clients</t>
  </si>
  <si>
    <t xml:space="preserve">George Hojeige — CEO / Group CEO, Virtuzone (as quoted in Jan 2025 acquisition coverage) (Medium)
Neil Petch — Co-founder and Chairman, Virtuzone (Jan 2025) (Medium)
Lennard Yong — CEO, Ascentium (parent) (Medium)
Paul Bryson — Managing Director (appointed June 2023; current status not confirmed) (Low)</t>
  </si>
  <si>
    <t xml:space="preserve">info@virtuzone.com
https://virtuzone.com/contactus</t>
  </si>
  <si>
    <t xml:space="preserve">Large organisation; partnerships likely handled centrally by Ascentium
Referral programme is designed for inbound UAE leads, not outbound counsel
Low Moldova demand
No stated CEE strategy at Virtuzone level</t>
  </si>
  <si>
    <t xml:space="preserve">Register interest via the Virtuzone partners/referral channel and send a short note to Virtuzone management (via info@virtuzone.com) proposing reciprocal Moldova&lt;-&gt;UAE referrals</t>
  </si>
  <si>
    <t xml:space="preserve">Сводка по статусам утверждений агента 01</t>
  </si>
  <si>
    <t xml:space="preserve">Подтверждено</t>
  </si>
  <si>
    <t xml:space="preserve">confirmed</t>
  </si>
  <si>
    <t xml:space="preserve">Ошибочно</t>
  </si>
  <si>
    <t xml:space="preserve">erroneous</t>
  </si>
  <si>
    <t xml:space="preserve">Не подтверждено</t>
  </si>
  <si>
    <t xml:space="preserve">unconfirmed</t>
  </si>
  <si>
    <t xml:space="preserve">Устарело (в т.ч. контакты)</t>
  </si>
  <si>
    <t xml:space="preserve">outdated</t>
  </si>
  <si>
    <t xml:space="preserve">Дубликат</t>
  </si>
  <si>
    <t xml:space="preserve">duplicate</t>
  </si>
  <si>
    <t xml:space="preserve">Требует доп. проверки</t>
  </si>
  <si>
    <t xml:space="preserve">needs_check</t>
  </si>
  <si>
    <t xml:space="preserve">Всего утверждений</t>
  </si>
  <si>
    <t xml:space="preserve">Компании, исключённые агентом 02: см. лист «Verified Database», статус «Исключено». Требуют доп. проверки: строки со статусом needs_check / unconfirmed.</t>
  </si>
  <si>
    <t xml:space="preserve">Утверждение агента 01</t>
  </si>
  <si>
    <t xml:space="preserve">Комментарий агента 02</t>
  </si>
  <si>
    <t xml:space="preserve">Источник</t>
  </si>
  <si>
    <t xml:space="preserve">60+ jurisdictions</t>
  </si>
  <si>
    <t xml:space="preserve">Circle site summary states 60+ jurisdictions/7,000+ professionals; older figures 40/50+ are outdated.</t>
  </si>
  <si>
    <t xml:space="preserve">https://circle.accace.com/</t>
  </si>
  <si>
    <t xml:space="preserve">Moldova offered (corporate/secretarial and accounting pages)</t>
  </si>
  <si>
    <t xml:space="preserve">Corporate &amp; secretarial Moldova page re-found; accounting page not re-surfaced this run but plausible.</t>
  </si>
  <si>
    <t xml:space="preserve">https://www.accace.com/locations/moldova/corporate-and-secretarial-services/</t>
  </si>
  <si>
    <t xml:space="preserve">Moldova own office vs partner unclear</t>
  </si>
  <si>
    <t xml:space="preserve">No Chisinau address found; Moldova absent from own-office list -&gt; likely partner-delivered (ASSUMPTION).</t>
  </si>
  <si>
    <t xml:space="preserve">https://theorg.com/org/accace</t>
  </si>
  <si>
    <t xml:space="preserve">Accace Circle partner network; BD &amp; Community Lead named</t>
  </si>
  <si>
    <t xml:space="preserve">Name now identified: Alžbeta Košinár. Network is BPO/advisors, not law-firm-specific - agent 01's 'partner_openness 5' slightly overstated for legal partnering.</t>
  </si>
  <si>
    <t xml:space="preserve">Emails slovakia@ / czechrepublic@accace.com and phones</t>
  </si>
  <si>
    <t xml:space="preserve">From third-party directories only; own domain not reachable.</t>
  </si>
  <si>
    <t xml:space="preserve">agent 01 contact_source</t>
  </si>
  <si>
    <t xml:space="preserve">HQ address Twin City C vs Pribinova 40</t>
  </si>
  <si>
    <t xml:space="preserve">Conflict noted by agent 01 not resolved; FinStat registry change Oct 2024 suggests Twin City address may be outdated.</t>
  </si>
  <si>
    <t xml:space="preserve">https://finstat.sk/35873639/obchodny_register</t>
  </si>
  <si>
    <t xml:space="preserve">Jurisdiction example list includes Serbia, Moldova</t>
  </si>
  <si>
    <t xml:space="preserve">Serbia/Moldova may be partner-covered rather than own offices; agent 01 did not distinguish.</t>
  </si>
  <si>
    <t xml:space="preserve">Operating status: latest dated news 2022; no 2025-2026 news</t>
  </si>
  <si>
    <t xml:space="preserve">Found March 2024 rebrand, June 2025 MD appointment, May 2026 company-profile PDF, July 2026 job posting, new-office release.</t>
  </si>
  <si>
    <t xml:space="preserve">https://eurofast.eu/member/gavrielides-antonis/ ; https://eurofast.eu/wp-content/uploads/2026/05/Eurofast-Company-Profile_2026-1.pdf</t>
  </si>
  <si>
    <t xml:space="preserve">Presence in 21+ cities (~19 countries)</t>
  </si>
  <si>
    <t xml:space="preserve">Own site now says 25+ cities; press release says 24 offices / 24 cities / 20 countries (added Thessaloniki, Plovdiv, Nis; Targoviste also listed).</t>
  </si>
  <si>
    <t xml:space="preserve">Office list incl. Bucharest, Kyiv, Tbilisi, Vilnius, Tallinn, Dubai, Cairo</t>
  </si>
  <si>
    <t xml:space="preserve">Matches own Meet Eurofast page, which also lists the new offices.</t>
  </si>
  <si>
    <t xml:space="preserve">HQ Cyprus (Nicosia)</t>
  </si>
  <si>
    <t xml:space="preserve">Nicosia listed; but a large operation is in Athens (third-party contact data points to Athens).</t>
  </si>
  <si>
    <t xml:space="preserve">https://career.auth.gr/companies/eurofast/</t>
  </si>
  <si>
    <t xml:space="preserve">Moldova not offered</t>
  </si>
  <si>
    <t xml:space="preserve">Wording should be 'not found': no Chisinau office in the official list.</t>
  </si>
  <si>
    <t xml:space="preserve">Member of BKR International, listed on PrimeGlobal, historic Taxand member</t>
  </si>
  <si>
    <t xml:space="preserve">BKR and PrimeGlobal both published the 2024 rebrand news; Taxand membership is historic only (older profiles).</t>
  </si>
  <si>
    <t xml:space="preserve">https://bkr.com/cyrpus-member-eurofast-introduces-refreshed-brand-identity/ ; https://www.primeglobal.net/news/new-brand-identity-eurofast</t>
  </si>
  <si>
    <t xml:space="preserve">Email info@eurofast.eu (not verified on site)</t>
  </si>
  <si>
    <t xml:space="preserve">Still from a third-party career profile only, though it matches the domain.</t>
  </si>
  <si>
    <t xml:space="preserve">Phone +357 22 699 000; address Cypress Centre, 5 Chytron St, Nicosia</t>
  </si>
  <si>
    <t xml:space="preserve">Not re-found in this check; the third-party profile gives an Athens number, 210 82 57 720.</t>
  </si>
  <si>
    <t xml:space="preserve">No public partner programme</t>
  </si>
  <si>
    <t xml:space="preserve">Wording should be 'not found'.</t>
  </si>
  <si>
    <t xml:space="preserve">searches 2026-10-08</t>
  </si>
  <si>
    <t xml:space="preserve">Decision makers</t>
  </si>
  <si>
    <t xml:space="preserve">Agent 01 named none. Two MDs (Gavrielides, I. Damianou) were found on the own domain.</t>
  </si>
  <si>
    <t xml:space="preserve">https://eurofast.eu/member/gavrielides-antonis/</t>
  </si>
  <si>
    <t xml:space="preserve">LinkedIn company page says Nicosia/Cyprus, but main contact page shows Malta (San Gwann) address. Conflict unresolved.</t>
  </si>
  <si>
    <t xml:space="preserve">https://www.linkedin.com/company/bridgewest-limited ; https://bridgewest.eu/contact/</t>
  </si>
  <si>
    <t xml:space="preserve">Over 70 jurisdictions</t>
  </si>
  <si>
    <t xml:space="preserve">Own claim on About page (LinkedIn says 65+). Self-declared only.</t>
  </si>
  <si>
    <t xml:space="preserve">https://bridgewest.eu/about-us/</t>
  </si>
  <si>
    <t xml:space="preserve">Moldova offered (SME registration, ready-made companies, VAT)</t>
  </si>
  <si>
    <t xml:space="preserve">Snippet of own Moldova page confirms; delivering entity not identified.</t>
  </si>
  <si>
    <t xml:space="preserve">https://bridgewest.eu/company-formation-moldova/</t>
  </si>
  <si>
    <t xml:space="preserve">Affiliate network of independent law firms/consultants/accountants; 'Join Our Network' section</t>
  </si>
  <si>
    <t xml:space="preserve">Confirmed; additionally a 'Partner Law Firms' page exists. Application terms not visible.</t>
  </si>
  <si>
    <t xml:space="preserve">https://bridgewest.eu/ ; https://www.bridgewest.eu/partner-law-firms</t>
  </si>
  <si>
    <t xml:space="preserve">Affiliates OpenCompanySingapore.com, ThaiCompanyFormation.com, LawyersIreland.eu</t>
  </si>
  <si>
    <t xml:space="preserve">Found Irelandcompanyformation.com, CompanyFormationGermany.com, CompanyFormationDenmark.com as divisions; the specific domains named by agent 01 not seen in snippets.</t>
  </si>
  <si>
    <t xml:space="preserve">https://bridgewest.eu/about-us-ireland/ ; https://bridgewest.eu/about-us-germany/</t>
  </si>
  <si>
    <t xml:space="preserve">Email office@bridgewest.eu</t>
  </si>
  <si>
    <t xml:space="preserve">Shown as office(at)bridgewest.eu on contact page.</t>
  </si>
  <si>
    <t xml:space="preserve">Phone +44 203 287 0408 as main number</t>
  </si>
  <si>
    <t xml:space="preserve">Main contact page shows (+35) 699 699 405 (likely Malta); +44 number appears on Bahamas page. Some country contact pages very old.</t>
  </si>
  <si>
    <t xml:space="preserve">https://bridgewest.eu/contact/ ; https://www.bridgewest.eu/contact-bahamas</t>
  </si>
  <si>
    <t xml:space="preserve">Address not verified</t>
  </si>
  <si>
    <t xml:space="preserve">An address (San Gwann, Malta) is shown on the main contact page.</t>
  </si>
  <si>
    <t xml:space="preserve">'Smaller firm, easier to reach decision makers'</t>
  </si>
  <si>
    <t xml:space="preserve">Plausible; co-founder found only via LinkedIn headline (Vlad Cuc). ASSUMPTION.</t>
  </si>
  <si>
    <t xml:space="preserve">https://www.linkedin.com/in/vlad-cuc-21152610/</t>
  </si>
  <si>
    <t xml:space="preserve">Operating recency not verified</t>
  </si>
  <si>
    <t xml:space="preserve">No dated 2025-2026 news/posts found; pages indexed 190-270 days ago indicate some maintenance.</t>
  </si>
  <si>
    <t xml:space="preserve">https://bridgewest.eu/company-formation-kuwait/</t>
  </si>
  <si>
    <t xml:space="preserve">Part of Hawksford</t>
  </si>
  <si>
    <t xml:space="preserve">Acquisition announced 12 Sept 2023; team kept in roles.</t>
  </si>
  <si>
    <t xml:space="preserve">https://www.hawksford.com/insights-and-guides/hawksford-acquires-healy-consultants</t>
  </si>
  <si>
    <t xml:space="preserve">Almost 200 countries</t>
  </si>
  <si>
    <t xml:space="preserve">Site says 200+ countries assisted since 2003 / 180+ locations relationships. Self-declared.</t>
  </si>
  <si>
    <t xml:space="preserve">https://www.healyconsultants.com/about-us/</t>
  </si>
  <si>
    <t xml:space="preserve">Moldova 10-step process, 12% CIT, ~2 weeks, 1 shareholder/1 director</t>
  </si>
  <si>
    <t xml:space="preserve">Confirmed in snippets; total timeline incl. bank stated as 11 weeks.</t>
  </si>
  <si>
    <t xml:space="preserve">https://www.healyconsultants.com/moldova-company-registration/incorporation-steps/</t>
  </si>
  <si>
    <t xml:space="preserve">Setup cost EUR 7,950</t>
  </si>
  <si>
    <t xml:space="preserve">Current snippets show average first-year fee US$10,145 and annual US$1,475/3,775; EUR 7,950 not seen.</t>
  </si>
  <si>
    <t xml:space="preserve">https://www.healyconsultants.com/moldova-company-registration/fees-timelines/</t>
  </si>
  <si>
    <t xml:space="preserve">2025 case study: Maltese client registering recruitment agency in Moldova</t>
  </si>
  <si>
    <t xml:space="preserve">Targeted search returned no such case study; 'Client case studies' section exists but text not visible.</t>
  </si>
  <si>
    <t xml:space="preserve">https://www.healyconsultants.com/moldova-company-registration/</t>
  </si>
  <si>
    <t xml:space="preserve">'10 steps to incorporate in Moldova in 2026' implies 2026 activity</t>
  </si>
  <si>
    <t xml:space="preserve">Titles say 2026 but search metadata shows pages ~797 days old (year likely auto-updated).</t>
  </si>
  <si>
    <t xml:space="preserve">No public partner program</t>
  </si>
  <si>
    <t xml:space="preserve">None found; but evidence of informal cooperation with local law firms (testimonials) - agent 01 underrated partner openness.</t>
  </si>
  <si>
    <t xml:space="preserve">https://www.healyconsultants.com/clients/testimonials/</t>
  </si>
  <si>
    <t xml:space="preserve">Email healy@hawksford.com; phones +65 6031 0332 / +971 4266 4470; address 16 Raffles Quay</t>
  </si>
  <si>
    <t xml:space="preserve">Current per contact page.</t>
  </si>
  <si>
    <t xml:space="preserve">email@healyconsultants.com likely outdated</t>
  </si>
  <si>
    <t xml:space="preserve">Old blog contact page also lists old Valley Point address and +65 6735 0120 (~4,300 days old).</t>
  </si>
  <si>
    <t xml:space="preserve">https://blog.healyconsultants.com/contact-us/</t>
  </si>
  <si>
    <t xml:space="preserve">Dubai office renamed Hawksford (privatebankerinternational.com)</t>
  </si>
  <si>
    <t xml:space="preserve">Hawksford gained Dubai presence via Healy subsidiary (confirmed); renaming not re-verified.</t>
  </si>
  <si>
    <t xml:space="preserve">Pearse Trust listed as separate provider</t>
  </si>
  <si>
    <t xml:space="preserve">Pearse Trust and Healy both belong to Hawksford: one group-level relationship; agent 01 correctly excluded Pearse Trust.</t>
  </si>
  <si>
    <t xml:space="preserve">research/raw/merged.json (agent 01)</t>
  </si>
  <si>
    <t xml:space="preserve">HQ UAE; Dubai WTC address</t>
  </si>
  <si>
    <t xml:space="preserve">Contact page and directories agree.</t>
  </si>
  <si>
    <t xml:space="preserve">Offices London, Naples, Bucharest, Moscow</t>
  </si>
  <si>
    <t xml:space="preserve">Full addresses on contact page; Romanian entry uses +971 phone.</t>
  </si>
  <si>
    <t xml:space="preserve">Oman office in Muscat</t>
  </si>
  <si>
    <t xml:space="preserve">Own-domain snippet lists Barka (Oman), not Muscat.</t>
  </si>
  <si>
    <t xml:space="preserve">Only DTT list mention found. Phrase as 'not found' rather than 'no'.</t>
  </si>
  <si>
    <t xml:space="preserve">https://www.commitbiz.com/tax-residency-certificate-uae</t>
  </si>
  <si>
    <t xml:space="preserve">Refer &amp; Earn / referral agreement with 7-day window, 30-day termination</t>
  </si>
  <si>
    <t xml:space="preserve">Agent 01 omitted that the agreement is bilateral and states a 20% referral fee (published by company), 1-year non-solicit, UAE law/Dubai courts.</t>
  </si>
  <si>
    <t xml:space="preserve">https://www.commitbiz.com/refer-and-earn-terms-conditions</t>
  </si>
  <si>
    <t xml:space="preserve">Main phone +971 4 871 4159 vs +971 4 386 7444</t>
  </si>
  <si>
    <t xml:space="preserve">Only +97143867444 re-seen (contact page title).</t>
  </si>
  <si>
    <t xml:space="preserve">Abu Dhabi address may be outdated</t>
  </si>
  <si>
    <t xml:space="preserve">Directory shows Al Salam Street near Canon building; low-confidence third-party.</t>
  </si>
  <si>
    <t xml:space="preserve">https://leadstal.com/sb/commitbiz-llc-business-setup-in-abu-dhabi</t>
  </si>
  <si>
    <t xml:space="preserve">'Strongest regional fit' / Legitimus as Moldova node next to Romania office</t>
  </si>
  <si>
    <t xml:space="preserve">Analytical; Romania office substance unverified (UAE phone number). Moscow office also needs sanctions/reputational screening.</t>
  </si>
  <si>
    <t xml:space="preserve">No decision maker given</t>
  </si>
  <si>
    <t xml:space="preserve">Found MD Manu Thomas V in Aug 2025 release.</t>
  </si>
  <si>
    <t xml:space="preserve">https://aijourn.com/?p=382000</t>
  </si>
  <si>
    <t xml:space="preserve">20+ jurisdictions; 600 professionals</t>
  </si>
  <si>
    <t xml:space="preserve">20+ confirmed; corporate services page says 400+ staff directly - figures conflict.</t>
  </si>
  <si>
    <t xml:space="preserve">https://www.sovereigngroup.com/our-services/corporate-services/</t>
  </si>
  <si>
    <t xml:space="preserve">Jurisdiction examples incl. Shanghai, BVI (Wikipedia)</t>
  </si>
  <si>
    <t xml:space="preserve">Current offices page shows ~23 entries; Shanghai/BVI not seen in it; Bahamas listed on locations page. Wikipedia list may be a dated snapshot.</t>
  </si>
  <si>
    <t xml:space="preserve">https://www.sovereigngroup.com/offices/</t>
  </si>
  <si>
    <t xml:space="preserve">Not found; express as 'not found'.</t>
  </si>
  <si>
    <t xml:space="preserve">No public partner/introducer program</t>
  </si>
  <si>
    <t xml:space="preserve">No formal programme page, but site explicitly offers white-label services to professional firms and BD staff build relationships with lawyers/accountants - partner cooperation exists in practice.</t>
  </si>
  <si>
    <t xml:space="preserve">https://www.sovereigngroup.com/isle-man/ ; https://www.sovereigngroup.com/dubai/</t>
  </si>
  <si>
    <t xml:space="preserve">Contacts info@/gib@, +350 200 76173</t>
  </si>
  <si>
    <t xml:space="preserve">Not re-seen in this pass; contact page live.</t>
  </si>
  <si>
    <t xml:space="preserve">No decision makers given</t>
  </si>
  <si>
    <t xml:space="preserve">CEO Gerry Kelly, Chairman Howard Bilton, BD heads now identified.</t>
  </si>
  <si>
    <t xml:space="preserve">https://www.sovereigngroup.com/staff/gerry-kelly/</t>
  </si>
  <si>
    <t xml:space="preserve">Saudi entity licence</t>
  </si>
  <si>
    <t xml:space="preserve">Saudi page cites MISA licence valid until 6 May 2026 (now passed) - not an agent 01 claim but a currency flag.</t>
  </si>
  <si>
    <t xml:space="preserve">https://www.sovereigngroup.com/saudi-arabia/</t>
  </si>
  <si>
    <t xml:space="preserve">87 jurisdictions, 125+ offices</t>
  </si>
  <si>
    <t xml:space="preserve">Own locations page.</t>
  </si>
  <si>
    <t xml:space="preserve">https://www.tmf-group.com/en/locations/</t>
  </si>
  <si>
    <t xml:space="preserve">Moldova offered: 'no'</t>
  </si>
  <si>
    <t xml:space="preserve">Wording: evidence supports only 'not found', not 'no'.</t>
  </si>
  <si>
    <t xml:space="preserve">https://www.tmf-group.com/en/locations/emea/romania</t>
  </si>
  <si>
    <t xml:space="preserve">Nordgain acquisition Oct 2025; Estonia Mar 2026</t>
  </si>
  <si>
    <t xml:space="preserve">Effective 3 Oct 2025; Estonia office Mar 2026.</t>
  </si>
  <si>
    <t xml:space="preserve">https://www.baltictimes.com/tmf_group_expands_into_estonia_following_its_acquisition_of_nordgain</t>
  </si>
  <si>
    <t xml:space="preserve">LAWorld partnership (2025) with independent law firms found - partial counter-evidence.</t>
  </si>
  <si>
    <t xml:space="preserve">WebSearch 2026-10-08 (LAWorld announcement)</t>
  </si>
  <si>
    <t xml:space="preserve">Phone +31 20 575 5600</t>
  </si>
  <si>
    <t xml:space="preserve">ZoomInfo only.</t>
  </si>
  <si>
    <t xml:space="preserve">agent 01</t>
  </si>
  <si>
    <t xml:space="preserve">Approach via CEE regional management (Romania office)</t>
  </si>
  <si>
    <t xml:space="preserve">Romania Country Manager Gabriel Sincu named (Nov 2024 - may be outdated).</t>
  </si>
  <si>
    <t xml:space="preserve">https://mediafax.ro/comunicate/tmf-group-a-leading-provider-of-compliance-and-administrative-services-22555939/amp</t>
  </si>
  <si>
    <t xml:space="preserve">HQ not verified</t>
  </si>
  <si>
    <t xml:space="preserve">Evidence points to Moscow head office (Russian main site, Moscow contact, Russian rankings, 'advokat' partners).</t>
  </si>
  <si>
    <t xml:space="preserve">https://www.gsl.org/ru/</t>
  </si>
  <si>
    <t xml:space="preserve">Moldova offered; EUR 2,000; 1-3 workdays; tax page</t>
  </si>
  <si>
    <t xml:space="preserve">Also compliance fee USD 385; no date on page so pricing may be stale.</t>
  </si>
  <si>
    <t xml:space="preserve">https://gsl.org/en/offshore/offshore-zones/eastern-europe/moldova/</t>
  </si>
  <si>
    <t xml:space="preserve">Offices London, Moscow, Nicosia, HK, Dubai, Riga, Bali</t>
  </si>
  <si>
    <t xml:space="preserve">Agent 01 missed Oradea (Romania), Budapest, Istanbul, Phuket; Riga address conflicting.</t>
  </si>
  <si>
    <t xml:space="preserve">https://gsl.org/en/offshore/ ; https://gsl.org/en/contacts/</t>
  </si>
  <si>
    <t xml:space="preserve">'Many trusted partners', no programme</t>
  </si>
  <si>
    <t xml:space="preserve">https://gsl.org/en/offshore/</t>
  </si>
  <si>
    <t xml:space="preserve">Contacts gsl@gsl.org, +7 495 234 3833</t>
  </si>
  <si>
    <t xml:space="preserve">London +44 20 7822 8593 also listed; staff listings partly outdated.</t>
  </si>
  <si>
    <t xml:space="preserve">Segment = offshore registration provider</t>
  </si>
  <si>
    <t xml:space="preserve">Under-describes: GSL is a Russian law/tax/audit firm ranked in 2026 Russian legal rankings - a potential competitor as well as referrer.</t>
  </si>
  <si>
    <t xml:space="preserve">https://gsl.org/ru/press-center/corporate-news/gsl-law-consulting-v-rejtinge-wealth-navigator-2026/</t>
  </si>
  <si>
    <t xml:space="preserve">Sanctions/reputational concern</t>
  </si>
  <si>
    <t xml:space="preserve">Concern is valid as a risk; no sanctions designation found in public search (not a formal screening).</t>
  </si>
  <si>
    <t xml:space="preserve">see sanctions_reputational_check</t>
  </si>
  <si>
    <t xml:space="preserve">No decision maker</t>
  </si>
  <si>
    <t xml:space="preserve">Managing Partner Alexander Alekseev named on gsl.org.</t>
  </si>
  <si>
    <t xml:space="preserve">https://gsl.org/en/users/alexander-alekseev/</t>
  </si>
  <si>
    <t xml:space="preserve">HQ moved Riga -&gt; Dubai (2023), Riga office remains</t>
  </si>
  <si>
    <t xml:space="preserve">About page: Dubai office opened 2023, now main office.</t>
  </si>
  <si>
    <t xml:space="preserve">https://www.uniwide.com/about/</t>
  </si>
  <si>
    <t xml:space="preserve">Partner Programme for law firms (referral + subcontractor)</t>
  </si>
  <si>
    <t xml:space="preserve">Not re-surfaced by three targeted searches; page may exist but unverified this run.</t>
  </si>
  <si>
    <t xml:space="preserve">https://www.uniwide.com/partner-programme/</t>
  </si>
  <si>
    <t xml:space="preserve">30+ jurisdictions via own offices and local registration agents</t>
  </si>
  <si>
    <t xml:space="preserve">30+ confirmed by third-party directory (Low); 'registration agents' wording not re-found.</t>
  </si>
  <si>
    <t xml:space="preserve">https://directory.partner.io/uniwide-biz</t>
  </si>
  <si>
    <t xml:space="preserve">Moldova unclear</t>
  </si>
  <si>
    <t xml:space="preserve">Better phrased 'not found'.</t>
  </si>
  <si>
    <t xml:space="preserve">WebSearch 2026-10-08</t>
  </si>
  <si>
    <t xml:space="preserve">Phones Riga/London/Seychelles</t>
  </si>
  <si>
    <t xml:space="preserve">Not re-checked; contact page not fetchable.</t>
  </si>
  <si>
    <t xml:space="preserve">Uniwide Formations (uniwide.co.uk) is its London arm</t>
  </si>
  <si>
    <t xml:space="preserve">About page mentions London formation office 2019; link to uniwide.co.uk not verified.</t>
  </si>
  <si>
    <t xml:space="preserve">Scale score 2</t>
  </si>
  <si>
    <t xml:space="preserve">Directory lists ~1,900 employees (implausible; Low confidence) - scale unclear.</t>
  </si>
  <si>
    <t xml:space="preserve">Uniwide found by two scouts (UK/offshore and EU batches)</t>
  </si>
  <si>
    <t xml:space="preserve">Deduplicated by agent 01 into one record; agent 02 confirms single company (Riga origin, Dubai HQ).</t>
  </si>
  <si>
    <t xml:space="preserve">HQ Hong Kong, address Lee Garden One, phone +852 2521 3661</t>
  </si>
  <si>
    <t xml:space="preserve">Head office page.</t>
  </si>
  <si>
    <t xml:space="preserve">https://www.vistra.com/about/head-office</t>
  </si>
  <si>
    <t xml:space="preserve">50+ markets / 45+ jurisdictions / 85+ offices</t>
  </si>
  <si>
    <t xml:space="preserve">50+ markets on careers site; additional 170+ countries coverage claim on VGS page.</t>
  </si>
  <si>
    <t xml:space="preserve">https://careers.vistra.com/ ; https://www.vistra.com/vgs</t>
  </si>
  <si>
    <t xml:space="preserve">Romania listed but unconfirmed</t>
  </si>
  <si>
    <t xml:space="preserve">Romania office confirmed: Bucharest, Vistra Professional Services SRL, Unirii View building.</t>
  </si>
  <si>
    <t xml:space="preserve">https://www.vistra.com/locations/emea/romania</t>
  </si>
  <si>
    <t xml:space="preserve">Restated as 'not found' (absence of evidence).</t>
  </si>
  <si>
    <t xml:space="preserve">Acquired Biz Latin Hub Dec 2025; Vistra Latam launched June 2026</t>
  </si>
  <si>
    <t xml:space="preserve">Reported 24-25 June 2026.</t>
  </si>
  <si>
    <t xml:space="preserve">https://cfotech.news/story/vistra-launches-latam-unit-after-biz-latin-hub-deal</t>
  </si>
  <si>
    <t xml:space="preserve">Tricor merged in</t>
  </si>
  <si>
    <t xml:space="preserve">Not re-verified in this pass.</t>
  </si>
  <si>
    <t xml:space="preserve">https://www.vistra.com/tricor-now-part-vistra</t>
  </si>
  <si>
    <t xml:space="preserve">None found for law firms; public partnerships are with EOR providers G-P (Mar 2026) and Oyster (Apr 2026).</t>
  </si>
  <si>
    <t xml:space="preserve">https://www.vistra.com/insights/vistra-launches-partnership-g-p-bridge-eor-and-entity-based-expansion-and-simplify</t>
  </si>
  <si>
    <t xml:space="preserve">Email not verified</t>
  </si>
  <si>
    <t xml:space="preserve">Still not found; use contact form.</t>
  </si>
  <si>
    <t xml:space="preserve">Biz Latin Hub listed as separate provider</t>
  </si>
  <si>
    <t xml:space="preserve">Biz Latin Hub acquired by Vistra (Vistra Latam, 2025-2026): treat as one group; agent 01 correctly excluded it as duplicate.</t>
  </si>
  <si>
    <t xml:space="preserve">virtuzone.com correct domain; vzone.ae unrelated</t>
  </si>
  <si>
    <t xml:space="preserve">Own press releases are on virtuzone.com; note vz.ae also hosts Virtuzone press releases (older domain).</t>
  </si>
  <si>
    <t xml:space="preserve">https://www.vz.ae/press-release/virtuzone-and-seven-pillars-law-create-joint-venture-virtuzone-cis</t>
  </si>
  <si>
    <t xml:space="preserve">Part of Ascentium since 2025</t>
  </si>
  <si>
    <t xml:space="preserve">Announced 22 Jan 2025, value undisclosed, includes Taxready, NGE, Maktabi.</t>
  </si>
  <si>
    <t xml:space="preserve">https://enterpriseam.com/uae/2025/01/22/singapores-ascentium-is-the-new-owner-of-dubai-based-virtuzone/</t>
  </si>
  <si>
    <t xml:space="preserve">Ascentium 27 markets / 58 cities</t>
  </si>
  <si>
    <t xml:space="preserve">27 markets confirmed (April 2026, Dezan Shira deal); 58 cities was not found (Dec 2025: 45 cities).</t>
  </si>
  <si>
    <t xml:space="preserve">https://www.china-briefing.com/news/ascentium-acquires-dezan-shira-associates-expanding-its-footprint-to-27-markets-and-strengthening-corporate-services-capabilities/</t>
  </si>
  <si>
    <t xml:space="preserve">Referral platform: AED 3,000 / AED 1,500, no cap</t>
  </si>
  <si>
    <t xml:space="preserve">The page says these are estimates that may vary.</t>
  </si>
  <si>
    <t xml:space="preserve">https://referral.virtuzone.com/</t>
  </si>
  <si>
    <t xml:space="preserve">Virtuzone CIS JV with Seven Pillars Law, status unclear</t>
  </si>
  <si>
    <t xml:space="preserve">JV confirmed; current status still not found.</t>
  </si>
  <si>
    <t xml:space="preserve">Should read 'not found'.</t>
  </si>
  <si>
    <t xml:space="preserve">agent 01 site searches; re-search 2026-10-08</t>
  </si>
  <si>
    <t xml:space="preserve">Contacts info@virtuzone.com, +971 4 457 8200, Souk Al Bahar address</t>
  </si>
  <si>
    <t xml:space="preserve">Not re-verified (site not fetchable); possible office changes after the acquisition.</t>
  </si>
  <si>
    <t xml:space="preserve">Agent 01 named none. Hojeige (CEO) and Petch (Chairman) found in 2025 press; the Bryson MD role (2023) may be outdated.</t>
  </si>
  <si>
    <t xml:space="preserve">https://gulfbusiness.com/en/2025/dubai/virtuzone-has-been-acquired-by-singapore-based-ascentium/</t>
  </si>
  <si>
    <t xml:space="preserve">Score 4.1 (highest in set)</t>
  </si>
  <si>
    <t xml:space="preserve">Overstated relative to Moldova relevance; Eurofast is a better fit.</t>
  </si>
  <si>
    <t xml:space="preserve">analysis</t>
  </si>
  <si>
    <t xml:space="preserve">Since 2009</t>
  </si>
  <si>
    <t xml:space="preserve">The own site says founded 'over 15 years ago'; a directory says established 2014.</t>
  </si>
  <si>
    <t xml:space="preserve">https://rizmona.com/who-we-are ; https://www.softwaresuggest.com/services/riz-mona-consultancy</t>
  </si>
  <si>
    <t xml:space="preserve">Associate firm network abroad</t>
  </si>
  <si>
    <t xml:space="preserve">Per own Who We Are page.</t>
  </si>
  <si>
    <t xml:space="preserve">https://www.rizmona.com/who-we-are/</t>
  </si>
  <si>
    <t xml:space="preserve">'Not found'.</t>
  </si>
  <si>
    <t xml:space="preserve">Two addresses (Exchange Tower 2401 / Single Business Tower 1006)</t>
  </si>
  <si>
    <t xml:space="preserve">Both appear in sources; current address unclear.</t>
  </si>
  <si>
    <t xml:space="preserve">https://www.leadstal.com/sb/riz-and-mona-consultancy-business-setup-consultants-in-dubai-uae</t>
  </si>
  <si>
    <t xml:space="preserve">Contacts email/phone</t>
  </si>
  <si>
    <t xml:space="preserve">Matches third-party listings too.</t>
  </si>
  <si>
    <t xml:space="preserve">Agent 01 named none. CEO &amp; Founder Rizwan Chaudhary found in own brochure.</t>
  </si>
  <si>
    <t xml:space="preserve">https://www.rizmona.com/assets/docs/rizmona.pdf</t>
  </si>
  <si>
    <t xml:space="preserve">Not mentioned by agent 01: 2025 IBGME acquisition / KSA expansion</t>
  </si>
  <si>
    <t xml:space="preserve">Only on own media page snippet; no independent press found.</t>
  </si>
  <si>
    <t xml:space="preserve">https://www.rizmona.com/media/</t>
  </si>
  <si>
    <t xml:space="preserve">Offices Dubai, DIFC, Riyadh, Hong Kong</t>
  </si>
  <si>
    <t xml:space="preserve">Also an ADGM CSP licence and Melbourne staff (Monash profile).</t>
  </si>
  <si>
    <t xml:space="preserve">https://gulfnews.com/business/corporate-news/creation-business-consultants-expands-uae-corporate-service-capabilities-with-adgm-licence-1.500682234</t>
  </si>
  <si>
    <t xml:space="preserve">Over 10 countries</t>
  </si>
  <si>
    <t xml:space="preserve">Per locations page (agent 01); not re-fetched.</t>
  </si>
  <si>
    <t xml:space="preserve">No partner programme</t>
  </si>
  <si>
    <t xml:space="preserve">Two Dubai addresses (O-14 Tower / Prism Tower)</t>
  </si>
  <si>
    <t xml:space="preserve">Current address unclear.</t>
  </si>
  <si>
    <t xml:space="preserve">Agent 01 named none. Scott Cairns, Founder &amp; MD, found.</t>
  </si>
  <si>
    <t xml:space="preserve">https://www.monash.edu/business/alumni/alumni-community/alumni-stories/scott-cairns</t>
  </si>
  <si>
    <t xml:space="preserve">HQ Singapore</t>
  </si>
  <si>
    <t xml:space="preserve">Own pages describe Singapore-based firm.</t>
  </si>
  <si>
    <t xml:space="preserve">https://www.tetraconsultants.com/jurisdictions/register-company-in-singapore/</t>
  </si>
  <si>
    <t xml:space="preserve">Still not found.</t>
  </si>
  <si>
    <t xml:space="preserve">Jurisdiction examples Dominica, Cayman, USA, Canada, Bermuda</t>
  </si>
  <si>
    <t xml:space="preserve">Incomplete - Georgia and Latvia (Eastern Europe) pages also exist, relevant to Legitimus.</t>
  </si>
  <si>
    <t xml:space="preserve">https://www.tetraconsultants.com/video/register-company-in-latvia/</t>
  </si>
  <si>
    <t xml:space="preserve">email enquiry@tetraconsultants.com</t>
  </si>
  <si>
    <t xml:space="preserve">Shown on own pages.</t>
  </si>
  <si>
    <t xml:space="preserve">https://www.tetraconsultants.com/video/register-company-in-gerogia/</t>
  </si>
  <si>
    <t xml:space="preserve">Address 67 Ubi Crescent</t>
  </si>
  <si>
    <t xml:space="preserve">Not re-found this run.</t>
  </si>
  <si>
    <t xml:space="preserve">partner_openness 2 / client_relevance 4</t>
  </si>
  <si>
    <t xml:space="preserve">client_relevance 4 seems high given one-off orientation.</t>
  </si>
  <si>
    <t xml:space="preserve">Rebranding to Ascentium</t>
  </si>
  <si>
    <t xml:space="preserve">Country-by-country rebrand in 2026; InCorp Global part of Ascentium since 2024.</t>
  </si>
  <si>
    <t xml:space="preserve">https://www.cekindo.com/blog/incorp-is-becoming-ascentium</t>
  </si>
  <si>
    <t xml:space="preserve">9 APAC markets</t>
  </si>
  <si>
    <t xml:space="preserve">Per About page; parent group covers 27 markets incl. Cyprus and UK (via Harneys Fiduciary) - agent 01 omitted group-level European presence.</t>
  </si>
  <si>
    <t xml:space="preserve">https://www.incorp.asia/about/ ; https://kyodonewsprwire.jp/release/202504097131</t>
  </si>
  <si>
    <t xml:space="preserve">Pure APAC footprint, no Europe/CIS coverage</t>
  </si>
  <si>
    <t xml:space="preserve">True for InCorp brand; Ascentium group has Cyprus (Limassol) and UK presence.</t>
  </si>
  <si>
    <t xml:space="preserve">https://kyodonewsprwire.jp/release/202504097131</t>
  </si>
  <si>
    <t xml:space="preserve">Not found.</t>
  </si>
  <si>
    <t xml:space="preserve">No public partner program; incorp.com is a different US firm</t>
  </si>
  <si>
    <t xml:space="preserve">Partners page exists (chambers/networks), not a referral program.</t>
  </si>
  <si>
    <t xml:space="preserve">https://www.incorp.asia/about/our-partners/</t>
  </si>
  <si>
    <t xml:space="preserve">Address 36 Robinson Road; WhatsApp +65 8699 8821</t>
  </si>
  <si>
    <t xml:space="preserve">Not re-verified; Singapore entity rebranded to Ascentium Singapore 1 Oct 2026 so contacts may change.</t>
  </si>
  <si>
    <t xml:space="preserve">1,500+ staff, 20,000+ clients</t>
  </si>
  <si>
    <t xml:space="preserve">Ascentium group now cites 3,000+ people across 27 markets.</t>
  </si>
  <si>
    <t xml:space="preserve">Only 'not found' is supported.</t>
  </si>
  <si>
    <t xml:space="preserve">UK/KSA/BVI offers; UAE-focused</t>
  </si>
  <si>
    <t xml:space="preserve">Per agent 01 own-domain URLs; not contradicted.</t>
  </si>
  <si>
    <t xml:space="preserve">https://avyanco.com/business-setup-in-saudi-arabia/</t>
  </si>
  <si>
    <t xml:space="preserve">Contacts info@avyanco.com, phones</t>
  </si>
  <si>
    <t xml:space="preserve">Contact page exists; values not re-shown in snippets this run.</t>
  </si>
  <si>
    <t xml:space="preserve">Decision maker not identified by agent 01</t>
  </si>
  <si>
    <t xml:space="preserve">Founder &amp; CEO Jashvantkumar Prajapati found on own domain - agent 01 missed it.</t>
  </si>
  <si>
    <t xml:space="preserve">https://avyanco.com/author/jashvantkumar-prajapati/</t>
  </si>
  <si>
    <t xml:space="preserve">Substitute for Emirabiz</t>
  </si>
  <si>
    <t xml:space="preserve">Substitute is itself a weak fit; selection logic questionable.</t>
  </si>
  <si>
    <t xml:space="preserve">25 jurisdictions</t>
  </si>
  <si>
    <t xml:space="preserve">Per brochure.</t>
  </si>
  <si>
    <t xml:space="preserve">5,800+ staff</t>
  </si>
  <si>
    <t xml:space="preserve">Newer materials say 6,500+.</t>
  </si>
  <si>
    <t xml:space="preserve">No Moldova/Romania/Ukraine presence</t>
  </si>
  <si>
    <t xml:space="preserve">European office list contains no CEE country ('not found').</t>
  </si>
  <si>
    <t xml:space="preserve">Phone +352 466 1111, route d'Esch address</t>
  </si>
  <si>
    <t xml:space="preserve">Not re-verified.</t>
  </si>
  <si>
    <t xml:space="preserve">Agent 01 named none. Group CEO Mark Pesco (2024). A third-party aggregator naming a different 'CEO' was judged unreliable and not used.</t>
  </si>
  <si>
    <t xml:space="preserve">https://iqeq.com/be/news/iq-eqs-group-ceo-named-in-eprivateclients-50-most-influential-for-2024/</t>
  </si>
  <si>
    <t xml:space="preserve">4 markets SG/HK/AU/UK</t>
  </si>
  <si>
    <t xml:space="preserve">Jan 2026 job post and multiple sources.</t>
  </si>
  <si>
    <t xml:space="preserve">Affiliate programme SGD 300 + SGD 1,000 per 10; new countries on request via affiliates@sleek.com</t>
  </si>
  <si>
    <t xml:space="preserve">Also SGD 10,000 for 100 conversions/month; min payout SGD 1,500. 'New countries on request' not re-seen - needs_check.</t>
  </si>
  <si>
    <t xml:space="preserve">https://sleek.com/sg/affiliates/</t>
  </si>
  <si>
    <t xml:space="preserve">Phone +65 6929 8273</t>
  </si>
  <si>
    <t xml:space="preserve">Not re-seen in this pass.</t>
  </si>
  <si>
    <t xml:space="preserve">Low fit</t>
  </si>
  <si>
    <t xml:space="preserve">Agree.</t>
  </si>
  <si>
    <t xml:space="preserve">Co-founder/CEO Julien Labruyere publicly known; current title unverified for 2026.</t>
  </si>
  <si>
    <t xml:space="preserve">https://www.preqin.com/data/profile/asset/sleek-tech-pte--ltd-/358489</t>
  </si>
  <si>
    <t xml:space="preserve">Formation only in UAE</t>
  </si>
  <si>
    <t xml:space="preserve">No non-UAE formation found.</t>
  </si>
  <si>
    <t xml:space="preserve">https://www.shuraa.com/company-formation-in-dubai-uae/</t>
  </si>
  <si>
    <t xml:space="preserve">Offices UK, Netherlands, India</t>
  </si>
  <si>
    <t xml:space="preserve">London address inconsistent: 9 Fisher's Lane Chiswick vs 71-75 / 85 Uxbridge Road.</t>
  </si>
  <si>
    <t xml:space="preserve">https://www.shuraa.co.uk/contact-us/ ; https://www.shuraa.com/contact-us/</t>
  </si>
  <si>
    <t xml:space="preserve">UK address 85 Uxbridge Road, Ealing</t>
  </si>
  <si>
    <t xml:space="preserve">Shuraa UK contact page now shows 9 Fisher's Lane, Chiswick, London W4 1RX.</t>
  </si>
  <si>
    <t xml:space="preserve">https://www.shuraa.co.uk/contact-us/</t>
  </si>
  <si>
    <t xml:space="preserve">Refer &amp; Earn up to AED 3,000, paid after completed setup; referrers may not represent Shuraa</t>
  </si>
  <si>
    <t xml:space="preserve">T&amp;C confirm; also excludes existing clients, discretionary.</t>
  </si>
  <si>
    <t xml:space="preserve">https://referral.shuraa.com/terms-and-conditions</t>
  </si>
  <si>
    <t xml:space="preserve">Restated as 'not found'.</t>
  </si>
  <si>
    <t xml:space="preserve">Main contact details (+971 4 408 1900, info@shuraa.com, Aspin Tower)</t>
  </si>
  <si>
    <t xml:space="preserve">Per contact page snippet.</t>
  </si>
  <si>
    <t xml:space="preserve">HQ Switzerland, offices Dubai/Seychelles/HK</t>
  </si>
  <si>
    <t xml:space="preserve">Only Feefo self-description (third-party host).</t>
  </si>
  <si>
    <t xml:space="preserve">https://www.feefo.com/reviews/sfm-offshore</t>
  </si>
  <si>
    <t xml:space="preserve">~50 jurisdictions</t>
  </si>
  <si>
    <t xml:space="preserve">Directory figure only.</t>
  </si>
  <si>
    <t xml:space="preserve">https://www.jasminedirectory.com/business-marketing/detail,1856595773,sfm.html</t>
  </si>
  <si>
    <t xml:space="preserve">Dubai address Capricorn Tower</t>
  </si>
  <si>
    <t xml:space="preserve">Third-party (Feefo) only - Low.</t>
  </si>
  <si>
    <t xml:space="preserve">https://feefo.com/fr-CA/reviews/sfm-offshore</t>
  </si>
  <si>
    <t xml:space="preserve">Active Feefo profile = operating evidence</t>
  </si>
  <si>
    <t xml:space="preserve">Most reviews 2014-2017; latest 2025; none 2026.</t>
  </si>
  <si>
    <t xml:space="preserve">scores client_relevance 3 / moldova 3</t>
  </si>
  <si>
    <t xml:space="preserve">Over-scored given zero verified contacts and no Moldova signal.</t>
  </si>
  <si>
    <t xml:space="preserve">Причина</t>
  </si>
  <si>
    <t xml:space="preserve">Санкционный и репутационный риск: штаб-квартира в Москве, российская клиентура. До контакта нужна формальная проверка по санкционным спискам и одобрение партнёра.</t>
  </si>
  <si>
    <t xml:space="preserve">Резерв: невысокий балл, в основном разовые регистрации; вернуться после TOP-10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</si>
</sst>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ccace.com/" TargetMode="External"/><Relationship Id="rId2" Type="http://schemas.openxmlformats.org/officeDocument/2006/relationships/hyperlink" Target="https://eurofast.eu/" TargetMode="External"/><Relationship Id="rId3" Type="http://schemas.openxmlformats.org/officeDocument/2006/relationships/hyperlink" Target="https://bridgewest.eu/" TargetMode="External"/><Relationship Id="rId4" Type="http://schemas.openxmlformats.org/officeDocument/2006/relationships/hyperlink" Target="https://www.healyconsultants.com/" TargetMode="External"/><Relationship Id="rId5" Type="http://schemas.openxmlformats.org/officeDocument/2006/relationships/hyperlink" Target="https://www.commitbiz.com/" TargetMode="External"/><Relationship Id="rId6" Type="http://schemas.openxmlformats.org/officeDocument/2006/relationships/hyperlink" Target="https://www.sovereigngroup.com/" TargetMode="External"/><Relationship Id="rId7" Type="http://schemas.openxmlformats.org/officeDocument/2006/relationships/hyperlink" Target="https://www.tmf-group.com/" TargetMode="External"/><Relationship Id="rId8" Type="http://schemas.openxmlformats.org/officeDocument/2006/relationships/hyperlink" Target="https://gsl.org/" TargetMode="External"/><Relationship Id="rId9" Type="http://schemas.openxmlformats.org/officeDocument/2006/relationships/hyperlink" Target="https://www.uniwide.com/" TargetMode="External"/><Relationship Id="rId10" Type="http://schemas.openxmlformats.org/officeDocument/2006/relationships/hyperlink" Target="https://www.vistra.com/" TargetMode="External"/><Relationship Id="rId11" Type="http://schemas.openxmlformats.org/officeDocument/2006/relationships/hyperlink" Target="https://virtuzone.com/" TargetMode="External"/><Relationship Id="rId12" Type="http://schemas.openxmlformats.org/officeDocument/2006/relationships/hyperlink" Target="https://www.rizmona.com/" TargetMode="External"/><Relationship Id="rId13" Type="http://schemas.openxmlformats.org/officeDocument/2006/relationships/hyperlink" Target="https://www.creationbc.com/" TargetMode="External"/><Relationship Id="rId14" Type="http://schemas.openxmlformats.org/officeDocument/2006/relationships/hyperlink" Target="https://www.tetraconsultants.com/" TargetMode="External"/><Relationship Id="rId15" Type="http://schemas.openxmlformats.org/officeDocument/2006/relationships/hyperlink" Target="https://www.incorp.asia/" TargetMode="External"/><Relationship Id="rId16" Type="http://schemas.openxmlformats.org/officeDocument/2006/relationships/hyperlink" Target="https://avyanco.com/" TargetMode="External"/><Relationship Id="rId17" Type="http://schemas.openxmlformats.org/officeDocument/2006/relationships/hyperlink" Target="https://iqeq.com/" TargetMode="External"/><Relationship Id="rId18" Type="http://schemas.openxmlformats.org/officeDocument/2006/relationships/hyperlink" Target="https://sleek.com/" TargetMode="External"/><Relationship Id="rId19" Type="http://schemas.openxmlformats.org/officeDocument/2006/relationships/hyperlink" Target="https://www.shuraa.com/" TargetMode="External"/><Relationship Id="rId20" Type="http://schemas.openxmlformats.org/officeDocument/2006/relationships/hyperlink" Target="https://www.sfmoffshore.com/" TargetMode="External"/><Relationship Id="rId2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2" t="s">
        <v>4</v>
      </c>
      <c r="B5" s="2" t="n">
        <f aca="false">COUNTIF('Verified Database'!$E:$E,A5)</f>
        <v>5</v>
      </c>
    </row>
    <row r="6" customFormat="false" ht="15" hidden="false" customHeight="false" outlineLevel="0" collapsed="false">
      <c r="A6" s="2" t="s">
        <v>5</v>
      </c>
      <c r="B6" s="2" t="n">
        <f aca="false">COUNTIF('Verified Database'!$E:$E,A6)</f>
        <v>5</v>
      </c>
    </row>
    <row r="7" customFormat="false" ht="15" hidden="false" customHeight="false" outlineLevel="0" collapsed="false">
      <c r="A7" s="2" t="s">
        <v>6</v>
      </c>
      <c r="B7" s="2" t="n">
        <f aca="false">COUNTIF('Verified Database'!$E:$E,A7)</f>
        <v>1</v>
      </c>
    </row>
    <row r="8" customFormat="false" ht="15" hidden="false" customHeight="false" outlineLevel="0" collapsed="false">
      <c r="A8" s="2" t="s">
        <v>7</v>
      </c>
      <c r="B8" s="2" t="n">
        <f aca="false">COUNTIF('Verified Database'!$E:$E,A8)</f>
        <v>2</v>
      </c>
    </row>
    <row r="9" customFormat="false" ht="15" hidden="false" customHeight="false" outlineLevel="0" collapsed="false">
      <c r="A9" s="2" t="s">
        <v>8</v>
      </c>
      <c r="B9" s="2" t="n">
        <f aca="false">COUNTIF('Verified Database'!$E:$E,A9)</f>
        <v>7</v>
      </c>
    </row>
    <row r="10" customFormat="false" ht="15" hidden="false" customHeight="false" outlineLevel="0" collapsed="false">
      <c r="A10" s="3" t="s">
        <v>9</v>
      </c>
      <c r="B10" s="3" t="n">
        <f aca="false">SUM(B5:B9)</f>
        <v>20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 t="s">
        <v>11</v>
      </c>
      <c r="B13" s="2" t="n">
        <v>20</v>
      </c>
    </row>
    <row r="14" customFormat="false" ht="15" hidden="false" customHeight="false" outlineLevel="0" collapsed="false">
      <c r="A14" s="2" t="s">
        <v>12</v>
      </c>
      <c r="B14" s="2" t="n">
        <v>30</v>
      </c>
    </row>
    <row r="15" customFormat="false" ht="15" hidden="false" customHeight="false" outlineLevel="0" collapsed="false">
      <c r="A15" s="2" t="s">
        <v>13</v>
      </c>
      <c r="B15" s="2" t="n">
        <v>20</v>
      </c>
    </row>
    <row r="16" customFormat="false" ht="15" hidden="false" customHeight="false" outlineLevel="0" collapsed="false">
      <c r="A16" s="2" t="s">
        <v>14</v>
      </c>
      <c r="B16" s="2" t="n">
        <v>15</v>
      </c>
    </row>
    <row r="17" customFormat="false" ht="15" hidden="false" customHeight="false" outlineLevel="0" collapsed="false">
      <c r="A17" s="2" t="s">
        <v>15</v>
      </c>
      <c r="B17" s="2" t="n">
        <v>15</v>
      </c>
    </row>
    <row r="18" customFormat="false" ht="15" hidden="false" customHeight="false" outlineLevel="0" collapsed="false">
      <c r="A18" s="3" t="s">
        <v>16</v>
      </c>
      <c r="B18" s="3" t="n">
        <f aca="false">SUM(B13:B17)</f>
        <v>100</v>
      </c>
    </row>
    <row r="20" customFormat="false" ht="31.5" hidden="false" customHeight="true" outlineLevel="0" collapsed="false">
      <c r="A20" s="4" t="s">
        <v>17</v>
      </c>
      <c r="B20" s="4"/>
      <c r="C20" s="4"/>
      <c r="D20" s="4"/>
      <c r="E20" s="4"/>
      <c r="F20" s="4"/>
      <c r="G20" s="4"/>
      <c r="H20" s="4"/>
    </row>
    <row r="21" customFormat="false" ht="31.5" hidden="false" customHeight="true" outlineLevel="0" collapsed="false">
      <c r="A21" s="4" t="s">
        <v>18</v>
      </c>
      <c r="B21" s="4"/>
      <c r="C21" s="4"/>
      <c r="D21" s="4"/>
      <c r="E21" s="4"/>
      <c r="F21" s="4"/>
      <c r="G21" s="4"/>
      <c r="H21" s="4"/>
    </row>
    <row r="22" customFormat="false" ht="31.5" hidden="false" customHeight="true" outlineLevel="0" collapsed="false">
      <c r="A22" s="4" t="s">
        <v>19</v>
      </c>
      <c r="B22" s="4"/>
      <c r="C22" s="4"/>
      <c r="D22" s="4"/>
      <c r="E22" s="4"/>
      <c r="F22" s="4"/>
      <c r="G22" s="4"/>
      <c r="H22" s="4"/>
    </row>
    <row r="23" customFormat="false" ht="31.5" hidden="false" customHeight="true" outlineLevel="0" collapsed="false">
      <c r="A23" s="4" t="s">
        <v>20</v>
      </c>
      <c r="B23" s="4"/>
      <c r="C23" s="4"/>
      <c r="D23" s="4"/>
      <c r="E23" s="4"/>
      <c r="F23" s="4"/>
      <c r="G23" s="4"/>
      <c r="H23" s="4"/>
    </row>
    <row r="24" customFormat="false" ht="31.5" hidden="false" customHeight="true" outlineLevel="0" collapsed="false">
      <c r="A24" s="4" t="s">
        <v>21</v>
      </c>
      <c r="B24" s="4"/>
      <c r="C24" s="4"/>
      <c r="D24" s="4"/>
      <c r="E24" s="4"/>
      <c r="F24" s="4"/>
      <c r="G24" s="4"/>
      <c r="H24" s="4"/>
    </row>
    <row r="25" customFormat="false" ht="31.5" hidden="false" customHeight="true" outlineLevel="0" collapsed="false">
      <c r="A25" s="4" t="s">
        <v>22</v>
      </c>
      <c r="B25" s="4"/>
      <c r="C25" s="4"/>
      <c r="D25" s="4"/>
      <c r="E25" s="4"/>
      <c r="F25" s="4"/>
      <c r="G25" s="4"/>
      <c r="H25" s="4"/>
    </row>
  </sheetData>
  <mergeCells count="6">
    <mergeCell ref="A20:H20"/>
    <mergeCell ref="A21:H21"/>
    <mergeCell ref="A22:H22"/>
    <mergeCell ref="A23:H23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24"/>
    <col collapsed="false" customWidth="true" hidden="false" outlineLevel="0" max="5" min="5" style="0" width="22"/>
    <col collapsed="false" customWidth="true" hidden="false" outlineLevel="0" max="7" min="6" style="0" width="8"/>
    <col collapsed="false" customWidth="true" hidden="false" outlineLevel="0" max="10" min="8" style="0" width="9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60"/>
    <col collapsed="false" customWidth="true" hidden="false" outlineLevel="0" max="17" min="15" style="0" width="35"/>
    <col collapsed="false" customWidth="true" hidden="false" outlineLevel="0" max="18" min="18" style="0" width="12"/>
    <col collapsed="false" customWidth="true" hidden="false" outlineLevel="0" max="19" min="19" style="0" width="14"/>
    <col collapsed="false" customWidth="true" hidden="false" outlineLevel="0" max="20" min="20" style="0" width="50"/>
    <col collapsed="false" customWidth="true" hidden="false" outlineLevel="0" max="21" min="21" style="0" width="10"/>
    <col collapsed="false" customWidth="true" hidden="false" outlineLevel="0" max="22" min="22" style="0" width="40"/>
    <col collapsed="false" customWidth="true" hidden="false" outlineLevel="0" max="23" min="23" style="0" width="45"/>
    <col collapsed="false" customWidth="true" hidden="false" outlineLevel="0" max="25" min="24" style="0" width="40"/>
    <col collapsed="false" customWidth="true" hidden="false" outlineLevel="0" max="27" min="26" style="0" width="28"/>
    <col collapsed="false" customWidth="true" hidden="false" outlineLevel="0" max="28" min="28" style="0" width="30"/>
    <col collapsed="false" customWidth="true" hidden="false" outlineLevel="0" max="30" min="29" style="0" width="10"/>
    <col collapsed="false" customWidth="true" hidden="false" outlineLevel="0" max="31" min="31" style="0" width="55"/>
    <col collapsed="false" customWidth="true" hidden="false" outlineLevel="0" max="32" min="32" style="0" width="40"/>
    <col collapsed="false" customWidth="true" hidden="false" outlineLevel="0" max="33" min="33" style="0" width="11"/>
  </cols>
  <sheetData>
    <row r="1" customFormat="false" ht="42" hidden="false" customHeight="tru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36</v>
      </c>
      <c r="P1" s="5" t="s">
        <v>37</v>
      </c>
      <c r="Q1" s="5" t="s">
        <v>38</v>
      </c>
      <c r="R1" s="5" t="s">
        <v>39</v>
      </c>
      <c r="S1" s="5" t="s">
        <v>40</v>
      </c>
      <c r="T1" s="5" t="s">
        <v>41</v>
      </c>
      <c r="U1" s="5" t="s">
        <v>42</v>
      </c>
      <c r="V1" s="5" t="s">
        <v>43</v>
      </c>
      <c r="W1" s="5" t="s">
        <v>44</v>
      </c>
      <c r="X1" s="5" t="s">
        <v>45</v>
      </c>
      <c r="Y1" s="5" t="s">
        <v>46</v>
      </c>
      <c r="Z1" s="5" t="s">
        <v>47</v>
      </c>
      <c r="AA1" s="5" t="s">
        <v>48</v>
      </c>
      <c r="AB1" s="5" t="s">
        <v>49</v>
      </c>
      <c r="AC1" s="5" t="s">
        <v>50</v>
      </c>
      <c r="AD1" s="5" t="s">
        <v>51</v>
      </c>
      <c r="AE1" s="5" t="s">
        <v>52</v>
      </c>
      <c r="AF1" s="5" t="s">
        <v>53</v>
      </c>
      <c r="AG1" s="5" t="s">
        <v>54</v>
      </c>
    </row>
    <row r="2" customFormat="false" ht="169.4" hidden="false" customHeight="false" outlineLevel="0" collapsed="false">
      <c r="A2" s="6" t="n">
        <f aca="false">RANK(K2,$K$2:$K$21)+COUNTIF($K$2:K2,K2)-1</f>
        <v>1</v>
      </c>
      <c r="B2" s="6" t="s">
        <v>55</v>
      </c>
      <c r="C2" s="7" t="s">
        <v>56</v>
      </c>
      <c r="D2" s="6" t="s">
        <v>57</v>
      </c>
      <c r="E2" s="6" t="s">
        <v>4</v>
      </c>
      <c r="F2" s="8" t="n">
        <v>18</v>
      </c>
      <c r="G2" s="8" t="n">
        <v>26</v>
      </c>
      <c r="H2" s="8" t="n">
        <v>16</v>
      </c>
      <c r="I2" s="8" t="n">
        <v>12</v>
      </c>
      <c r="J2" s="8" t="n">
        <v>10</v>
      </c>
      <c r="K2" s="7" t="n">
        <f aca="false">SUM(F2:J2)</f>
        <v>82</v>
      </c>
      <c r="L2" s="7" t="n">
        <v>89</v>
      </c>
      <c r="M2" s="7" t="n">
        <f aca="false">K2-L2</f>
        <v>-7</v>
      </c>
      <c r="N2" s="6" t="s">
        <v>58</v>
      </c>
      <c r="O2" s="6" t="s">
        <v>59</v>
      </c>
      <c r="P2" s="6" t="s">
        <v>60</v>
      </c>
      <c r="Q2" s="6" t="s">
        <v>61</v>
      </c>
      <c r="R2" s="6" t="s">
        <v>62</v>
      </c>
      <c r="S2" s="6" t="s">
        <v>63</v>
      </c>
      <c r="T2" s="6" t="s">
        <v>64</v>
      </c>
      <c r="U2" s="6" t="s">
        <v>65</v>
      </c>
      <c r="V2" s="6" t="s">
        <v>66</v>
      </c>
      <c r="W2" s="6" t="s">
        <v>67</v>
      </c>
      <c r="X2" s="6" t="s">
        <v>68</v>
      </c>
      <c r="Y2" s="6" t="s">
        <v>69</v>
      </c>
      <c r="Z2" s="6" t="s">
        <v>70</v>
      </c>
      <c r="AA2" s="6" t="s">
        <v>71</v>
      </c>
      <c r="AB2" s="6" t="s">
        <v>72</v>
      </c>
      <c r="AC2" s="6" t="s">
        <v>63</v>
      </c>
      <c r="AD2" s="6" t="s">
        <v>73</v>
      </c>
      <c r="AE2" s="6" t="s">
        <v>74</v>
      </c>
      <c r="AF2" s="7"/>
      <c r="AG2" s="6" t="s">
        <v>75</v>
      </c>
    </row>
    <row r="3" customFormat="false" ht="415.65" hidden="false" customHeight="false" outlineLevel="0" collapsed="false">
      <c r="A3" s="7" t="n">
        <f aca="false">RANK(K3,$K$2:$K$21)+COUNTIF($K$2:K3,K3)-1</f>
        <v>2</v>
      </c>
      <c r="B3" s="6" t="s">
        <v>76</v>
      </c>
      <c r="C3" s="7" t="s">
        <v>77</v>
      </c>
      <c r="D3" s="6" t="s">
        <v>78</v>
      </c>
      <c r="E3" s="6" t="s">
        <v>4</v>
      </c>
      <c r="F3" s="8" t="n">
        <v>17</v>
      </c>
      <c r="G3" s="8" t="n">
        <v>24</v>
      </c>
      <c r="H3" s="8" t="n">
        <v>12</v>
      </c>
      <c r="I3" s="8" t="n">
        <v>12</v>
      </c>
      <c r="J3" s="8" t="n">
        <v>11</v>
      </c>
      <c r="K3" s="7" t="n">
        <f aca="false">SUM(F3:J3)</f>
        <v>76</v>
      </c>
      <c r="L3" s="7" t="n">
        <v>76</v>
      </c>
      <c r="M3" s="7" t="n">
        <f aca="false">K3-L3</f>
        <v>0</v>
      </c>
      <c r="N3" s="6" t="s">
        <v>79</v>
      </c>
      <c r="O3" s="6" t="s">
        <v>80</v>
      </c>
      <c r="P3" s="6" t="s">
        <v>81</v>
      </c>
      <c r="Q3" s="6" t="s">
        <v>82</v>
      </c>
      <c r="R3" s="6" t="s">
        <v>83</v>
      </c>
      <c r="S3" s="6" t="s">
        <v>84</v>
      </c>
      <c r="T3" s="6" t="s">
        <v>85</v>
      </c>
      <c r="U3" s="6" t="s">
        <v>65</v>
      </c>
      <c r="V3" s="6" t="s">
        <v>86</v>
      </c>
      <c r="W3" s="6" t="s">
        <v>87</v>
      </c>
      <c r="X3" s="6" t="s">
        <v>88</v>
      </c>
      <c r="Y3" s="6" t="s">
        <v>89</v>
      </c>
      <c r="Z3" s="6" t="s">
        <v>90</v>
      </c>
      <c r="AA3" s="6" t="s">
        <v>91</v>
      </c>
      <c r="AB3" s="6" t="s">
        <v>92</v>
      </c>
      <c r="AC3" s="6" t="s">
        <v>63</v>
      </c>
      <c r="AD3" s="6" t="s">
        <v>73</v>
      </c>
      <c r="AE3" s="6" t="s">
        <v>93</v>
      </c>
      <c r="AF3" s="7"/>
      <c r="AG3" s="6" t="s">
        <v>75</v>
      </c>
    </row>
    <row r="4" customFormat="false" ht="158.2" hidden="false" customHeight="false" outlineLevel="0" collapsed="false">
      <c r="A4" s="7" t="n">
        <f aca="false">RANK(K4,$K$2:$K$21)+COUNTIF($K$2:K4,K4)-1</f>
        <v>3</v>
      </c>
      <c r="B4" s="6" t="s">
        <v>94</v>
      </c>
      <c r="C4" s="7" t="s">
        <v>95</v>
      </c>
      <c r="D4" s="6" t="s">
        <v>96</v>
      </c>
      <c r="E4" s="6" t="s">
        <v>4</v>
      </c>
      <c r="F4" s="8" t="n">
        <v>17</v>
      </c>
      <c r="G4" s="8" t="n">
        <v>17</v>
      </c>
      <c r="H4" s="8" t="n">
        <v>19</v>
      </c>
      <c r="I4" s="8" t="n">
        <v>11</v>
      </c>
      <c r="J4" s="8" t="n">
        <v>11</v>
      </c>
      <c r="K4" s="7" t="n">
        <f aca="false">SUM(F4:J4)</f>
        <v>75</v>
      </c>
      <c r="L4" s="7" t="n">
        <v>87</v>
      </c>
      <c r="M4" s="7" t="n">
        <f aca="false">K4-L4</f>
        <v>-12</v>
      </c>
      <c r="N4" s="6" t="s">
        <v>97</v>
      </c>
      <c r="O4" s="6" t="s">
        <v>98</v>
      </c>
      <c r="P4" s="6" t="s">
        <v>99</v>
      </c>
      <c r="Q4" s="6" t="s">
        <v>100</v>
      </c>
      <c r="R4" s="6" t="s">
        <v>62</v>
      </c>
      <c r="S4" s="6" t="s">
        <v>63</v>
      </c>
      <c r="T4" s="6" t="s">
        <v>101</v>
      </c>
      <c r="U4" s="6" t="s">
        <v>65</v>
      </c>
      <c r="V4" s="6" t="s">
        <v>102</v>
      </c>
      <c r="W4" s="6" t="s">
        <v>103</v>
      </c>
      <c r="X4" s="6" t="s">
        <v>104</v>
      </c>
      <c r="Y4" s="6" t="s">
        <v>105</v>
      </c>
      <c r="Z4" s="6" t="s">
        <v>106</v>
      </c>
      <c r="AA4" s="6" t="s">
        <v>107</v>
      </c>
      <c r="AB4" s="6" t="s">
        <v>108</v>
      </c>
      <c r="AC4" s="6" t="s">
        <v>63</v>
      </c>
      <c r="AD4" s="6" t="s">
        <v>65</v>
      </c>
      <c r="AE4" s="6" t="s">
        <v>109</v>
      </c>
      <c r="AF4" s="7"/>
      <c r="AG4" s="6" t="s">
        <v>75</v>
      </c>
    </row>
    <row r="5" customFormat="false" ht="147" hidden="false" customHeight="false" outlineLevel="0" collapsed="false">
      <c r="A5" s="7" t="n">
        <f aca="false">RANK(K5,$K$2:$K$21)+COUNTIF($K$2:K5,K5)-1</f>
        <v>4</v>
      </c>
      <c r="B5" s="6" t="s">
        <v>110</v>
      </c>
      <c r="C5" s="7" t="s">
        <v>111</v>
      </c>
      <c r="D5" s="6" t="s">
        <v>112</v>
      </c>
      <c r="E5" s="6" t="s">
        <v>4</v>
      </c>
      <c r="F5" s="8" t="n">
        <v>17</v>
      </c>
      <c r="G5" s="8" t="n">
        <v>21</v>
      </c>
      <c r="H5" s="8" t="n">
        <v>16</v>
      </c>
      <c r="I5" s="8" t="n">
        <v>12</v>
      </c>
      <c r="J5" s="8" t="n">
        <v>8</v>
      </c>
      <c r="K5" s="7" t="n">
        <f aca="false">SUM(F5:J5)</f>
        <v>74</v>
      </c>
      <c r="L5" s="7" t="n">
        <v>81</v>
      </c>
      <c r="M5" s="7" t="n">
        <f aca="false">K5-L5</f>
        <v>-7</v>
      </c>
      <c r="N5" s="6" t="s">
        <v>113</v>
      </c>
      <c r="O5" s="6" t="s">
        <v>114</v>
      </c>
      <c r="P5" s="6" t="s">
        <v>115</v>
      </c>
      <c r="Q5" s="6" t="s">
        <v>116</v>
      </c>
      <c r="R5" s="6" t="s">
        <v>62</v>
      </c>
      <c r="S5" s="6" t="s">
        <v>63</v>
      </c>
      <c r="T5" s="6" t="s">
        <v>117</v>
      </c>
      <c r="U5" s="6" t="s">
        <v>65</v>
      </c>
      <c r="V5" s="6" t="s">
        <v>118</v>
      </c>
      <c r="W5" s="6" t="s">
        <v>119</v>
      </c>
      <c r="X5" s="6" t="s">
        <v>120</v>
      </c>
      <c r="Y5" s="6" t="s">
        <v>121</v>
      </c>
      <c r="Z5" s="6" t="s">
        <v>122</v>
      </c>
      <c r="AA5" s="6" t="s">
        <v>123</v>
      </c>
      <c r="AB5" s="6" t="s">
        <v>124</v>
      </c>
      <c r="AC5" s="6" t="s">
        <v>125</v>
      </c>
      <c r="AD5" s="6" t="s">
        <v>65</v>
      </c>
      <c r="AE5" s="6" t="s">
        <v>126</v>
      </c>
      <c r="AF5" s="7"/>
      <c r="AG5" s="6" t="s">
        <v>75</v>
      </c>
    </row>
    <row r="6" customFormat="false" ht="169.4" hidden="false" customHeight="false" outlineLevel="0" collapsed="false">
      <c r="A6" s="7" t="n">
        <f aca="false">RANK(K6,$K$2:$K$21)+COUNTIF($K$2:K6,K6)-1</f>
        <v>5</v>
      </c>
      <c r="B6" s="6" t="s">
        <v>127</v>
      </c>
      <c r="C6" s="7" t="s">
        <v>128</v>
      </c>
      <c r="D6" s="6" t="s">
        <v>129</v>
      </c>
      <c r="E6" s="6" t="s">
        <v>4</v>
      </c>
      <c r="F6" s="8" t="n">
        <v>15</v>
      </c>
      <c r="G6" s="8" t="n">
        <v>19</v>
      </c>
      <c r="H6" s="8" t="n">
        <v>17</v>
      </c>
      <c r="I6" s="8" t="n">
        <v>9</v>
      </c>
      <c r="J6" s="8" t="n">
        <v>10</v>
      </c>
      <c r="K6" s="7" t="n">
        <f aca="false">SUM(F6:J6)</f>
        <v>70</v>
      </c>
      <c r="L6" s="7" t="n">
        <v>83</v>
      </c>
      <c r="M6" s="7" t="n">
        <f aca="false">K6-L6</f>
        <v>-13</v>
      </c>
      <c r="N6" s="6" t="s">
        <v>130</v>
      </c>
      <c r="O6" s="6" t="s">
        <v>131</v>
      </c>
      <c r="P6" s="6" t="s">
        <v>132</v>
      </c>
      <c r="Q6" s="6" t="s">
        <v>133</v>
      </c>
      <c r="R6" s="6" t="s">
        <v>83</v>
      </c>
      <c r="S6" s="6" t="s">
        <v>84</v>
      </c>
      <c r="T6" s="6" t="s">
        <v>134</v>
      </c>
      <c r="U6" s="6" t="s">
        <v>65</v>
      </c>
      <c r="V6" s="6" t="s">
        <v>135</v>
      </c>
      <c r="W6" s="6" t="s">
        <v>136</v>
      </c>
      <c r="X6" s="6" t="s">
        <v>137</v>
      </c>
      <c r="Y6" s="6" t="s">
        <v>138</v>
      </c>
      <c r="Z6" s="6" t="s">
        <v>139</v>
      </c>
      <c r="AA6" s="6" t="s">
        <v>140</v>
      </c>
      <c r="AB6" s="6" t="s">
        <v>141</v>
      </c>
      <c r="AC6" s="6" t="s">
        <v>125</v>
      </c>
      <c r="AD6" s="6" t="s">
        <v>65</v>
      </c>
      <c r="AE6" s="6" t="s">
        <v>142</v>
      </c>
      <c r="AF6" s="7"/>
      <c r="AG6" s="6" t="s">
        <v>75</v>
      </c>
    </row>
    <row r="7" customFormat="false" ht="158.2" hidden="false" customHeight="false" outlineLevel="0" collapsed="false">
      <c r="A7" s="7" t="n">
        <f aca="false">RANK(K7,$K$2:$K$21)+COUNTIF($K$2:K7,K7)-1</f>
        <v>6</v>
      </c>
      <c r="B7" s="6" t="s">
        <v>143</v>
      </c>
      <c r="C7" s="7" t="s">
        <v>144</v>
      </c>
      <c r="D7" s="6" t="s">
        <v>145</v>
      </c>
      <c r="E7" s="6" t="s">
        <v>5</v>
      </c>
      <c r="F7" s="8" t="n">
        <v>17</v>
      </c>
      <c r="G7" s="8" t="n">
        <v>20</v>
      </c>
      <c r="H7" s="8" t="n">
        <v>14</v>
      </c>
      <c r="I7" s="8" t="n">
        <v>6</v>
      </c>
      <c r="J7" s="8" t="n">
        <v>12</v>
      </c>
      <c r="K7" s="7" t="n">
        <f aca="false">SUM(F7:J7)</f>
        <v>69</v>
      </c>
      <c r="L7" s="7" t="n">
        <v>77</v>
      </c>
      <c r="M7" s="7" t="n">
        <f aca="false">K7-L7</f>
        <v>-8</v>
      </c>
      <c r="N7" s="6" t="s">
        <v>146</v>
      </c>
      <c r="O7" s="6" t="s">
        <v>147</v>
      </c>
      <c r="P7" s="6" t="s">
        <v>148</v>
      </c>
      <c r="Q7" s="6" t="s">
        <v>149</v>
      </c>
      <c r="R7" s="6" t="s">
        <v>83</v>
      </c>
      <c r="S7" s="6" t="s">
        <v>84</v>
      </c>
      <c r="T7" s="6" t="s">
        <v>150</v>
      </c>
      <c r="U7" s="6" t="s">
        <v>65</v>
      </c>
      <c r="V7" s="6" t="s">
        <v>151</v>
      </c>
      <c r="W7" s="6" t="s">
        <v>152</v>
      </c>
      <c r="X7" s="6" t="s">
        <v>153</v>
      </c>
      <c r="Y7" s="6" t="s">
        <v>154</v>
      </c>
      <c r="Z7" s="6" t="s">
        <v>155</v>
      </c>
      <c r="AA7" s="6" t="s">
        <v>156</v>
      </c>
      <c r="AB7" s="6" t="s">
        <v>157</v>
      </c>
      <c r="AC7" s="6" t="s">
        <v>125</v>
      </c>
      <c r="AD7" s="6" t="s">
        <v>65</v>
      </c>
      <c r="AE7" s="6" t="s">
        <v>158</v>
      </c>
      <c r="AF7" s="7"/>
      <c r="AG7" s="6" t="s">
        <v>75</v>
      </c>
    </row>
    <row r="8" customFormat="false" ht="158.2" hidden="false" customHeight="false" outlineLevel="0" collapsed="false">
      <c r="A8" s="7" t="n">
        <f aca="false">RANK(K8,$K$2:$K$21)+COUNTIF($K$2:K8,K8)-1</f>
        <v>7</v>
      </c>
      <c r="B8" s="6" t="s">
        <v>159</v>
      </c>
      <c r="C8" s="7" t="s">
        <v>160</v>
      </c>
      <c r="D8" s="6" t="s">
        <v>161</v>
      </c>
      <c r="E8" s="6" t="s">
        <v>5</v>
      </c>
      <c r="F8" s="8" t="n">
        <v>17</v>
      </c>
      <c r="G8" s="8" t="n">
        <v>26</v>
      </c>
      <c r="H8" s="8" t="n">
        <v>8</v>
      </c>
      <c r="I8" s="8" t="n">
        <v>9</v>
      </c>
      <c r="J8" s="8" t="n">
        <v>7</v>
      </c>
      <c r="K8" s="7" t="n">
        <f aca="false">SUM(F8:J8)</f>
        <v>67</v>
      </c>
      <c r="L8" s="7" t="n">
        <v>68</v>
      </c>
      <c r="M8" s="7" t="n">
        <f aca="false">K8-L8</f>
        <v>-1</v>
      </c>
      <c r="N8" s="6" t="s">
        <v>162</v>
      </c>
      <c r="O8" s="6" t="s">
        <v>163</v>
      </c>
      <c r="P8" s="6" t="s">
        <v>164</v>
      </c>
      <c r="Q8" s="6" t="s">
        <v>165</v>
      </c>
      <c r="R8" s="6" t="s">
        <v>83</v>
      </c>
      <c r="S8" s="6" t="s">
        <v>84</v>
      </c>
      <c r="T8" s="6" t="s">
        <v>166</v>
      </c>
      <c r="U8" s="6" t="s">
        <v>65</v>
      </c>
      <c r="V8" s="6" t="s">
        <v>167</v>
      </c>
      <c r="W8" s="6" t="s">
        <v>168</v>
      </c>
      <c r="X8" s="6" t="s">
        <v>169</v>
      </c>
      <c r="Y8" s="6" t="s">
        <v>170</v>
      </c>
      <c r="Z8" s="6" t="s">
        <v>83</v>
      </c>
      <c r="AA8" s="6" t="s">
        <v>171</v>
      </c>
      <c r="AB8" s="6" t="s">
        <v>172</v>
      </c>
      <c r="AC8" s="6" t="s">
        <v>63</v>
      </c>
      <c r="AD8" s="6" t="s">
        <v>73</v>
      </c>
      <c r="AE8" s="6" t="s">
        <v>173</v>
      </c>
      <c r="AF8" s="7"/>
      <c r="AG8" s="6" t="s">
        <v>75</v>
      </c>
    </row>
    <row r="9" customFormat="false" ht="124.6" hidden="false" customHeight="false" outlineLevel="0" collapsed="false">
      <c r="A9" s="7" t="n">
        <f aca="false">RANK(K9,$K$2:$K$21)+COUNTIF($K$2:K9,K9)-1</f>
        <v>8</v>
      </c>
      <c r="B9" s="6" t="s">
        <v>174</v>
      </c>
      <c r="C9" s="7" t="s">
        <v>175</v>
      </c>
      <c r="D9" s="6" t="s">
        <v>176</v>
      </c>
      <c r="E9" s="6" t="s">
        <v>6</v>
      </c>
      <c r="F9" s="8" t="n">
        <v>13</v>
      </c>
      <c r="G9" s="8" t="n">
        <v>18</v>
      </c>
      <c r="H9" s="8" t="n">
        <v>12</v>
      </c>
      <c r="I9" s="8" t="n">
        <v>13</v>
      </c>
      <c r="J9" s="8" t="n">
        <v>9</v>
      </c>
      <c r="K9" s="7" t="n">
        <f aca="false">SUM(F9:J9)</f>
        <v>65</v>
      </c>
      <c r="L9" s="7" t="n">
        <v>68</v>
      </c>
      <c r="M9" s="7" t="n">
        <f aca="false">K9-L9</f>
        <v>-3</v>
      </c>
      <c r="N9" s="6" t="s">
        <v>177</v>
      </c>
      <c r="O9" s="6" t="s">
        <v>178</v>
      </c>
      <c r="P9" s="6" t="s">
        <v>179</v>
      </c>
      <c r="Q9" s="6" t="s">
        <v>180</v>
      </c>
      <c r="R9" s="6" t="s">
        <v>62</v>
      </c>
      <c r="S9" s="6" t="s">
        <v>63</v>
      </c>
      <c r="T9" s="6" t="s">
        <v>181</v>
      </c>
      <c r="U9" s="6" t="s">
        <v>182</v>
      </c>
      <c r="V9" s="6" t="s">
        <v>183</v>
      </c>
      <c r="W9" s="6" t="s">
        <v>184</v>
      </c>
      <c r="X9" s="6" t="s">
        <v>185</v>
      </c>
      <c r="Y9" s="6" t="s">
        <v>186</v>
      </c>
      <c r="Z9" s="6" t="s">
        <v>187</v>
      </c>
      <c r="AA9" s="6" t="s">
        <v>188</v>
      </c>
      <c r="AB9" s="6" t="s">
        <v>189</v>
      </c>
      <c r="AC9" s="6" t="s">
        <v>63</v>
      </c>
      <c r="AD9" s="6" t="s">
        <v>65</v>
      </c>
      <c r="AE9" s="6" t="s">
        <v>190</v>
      </c>
      <c r="AF9" s="7"/>
      <c r="AG9" s="6" t="s">
        <v>75</v>
      </c>
    </row>
    <row r="10" customFormat="false" ht="124.6" hidden="false" customHeight="false" outlineLevel="0" collapsed="false">
      <c r="A10" s="7" t="n">
        <f aca="false">RANK(K10,$K$2:$K$21)+COUNTIF($K$2:K10,K10)-1</f>
        <v>9</v>
      </c>
      <c r="B10" s="6" t="s">
        <v>191</v>
      </c>
      <c r="C10" s="7" t="s">
        <v>192</v>
      </c>
      <c r="D10" s="6" t="s">
        <v>193</v>
      </c>
      <c r="E10" s="6" t="s">
        <v>5</v>
      </c>
      <c r="F10" s="8" t="n">
        <v>12</v>
      </c>
      <c r="G10" s="8" t="n">
        <v>16</v>
      </c>
      <c r="H10" s="8" t="n">
        <v>14</v>
      </c>
      <c r="I10" s="8" t="n">
        <v>8</v>
      </c>
      <c r="J10" s="8" t="n">
        <v>10</v>
      </c>
      <c r="K10" s="7" t="n">
        <f aca="false">SUM(F10:J10)</f>
        <v>60</v>
      </c>
      <c r="L10" s="7" t="n">
        <v>81</v>
      </c>
      <c r="M10" s="7" t="n">
        <f aca="false">K10-L10</f>
        <v>-21</v>
      </c>
      <c r="N10" s="6" t="s">
        <v>194</v>
      </c>
      <c r="O10" s="6" t="s">
        <v>195</v>
      </c>
      <c r="P10" s="6" t="s">
        <v>196</v>
      </c>
      <c r="Q10" s="6" t="s">
        <v>197</v>
      </c>
      <c r="R10" s="6" t="s">
        <v>83</v>
      </c>
      <c r="S10" s="6" t="s">
        <v>84</v>
      </c>
      <c r="T10" s="6" t="s">
        <v>198</v>
      </c>
      <c r="U10" s="6" t="s">
        <v>73</v>
      </c>
      <c r="V10" s="6" t="s">
        <v>199</v>
      </c>
      <c r="W10" s="6" t="s">
        <v>200</v>
      </c>
      <c r="X10" s="6" t="s">
        <v>201</v>
      </c>
      <c r="Y10" s="6" t="s">
        <v>202</v>
      </c>
      <c r="Z10" s="6" t="s">
        <v>83</v>
      </c>
      <c r="AA10" s="6" t="s">
        <v>203</v>
      </c>
      <c r="AB10" s="6" t="s">
        <v>204</v>
      </c>
      <c r="AC10" s="6" t="s">
        <v>63</v>
      </c>
      <c r="AD10" s="6" t="s">
        <v>73</v>
      </c>
      <c r="AE10" s="6" t="s">
        <v>205</v>
      </c>
      <c r="AF10" s="7"/>
      <c r="AG10" s="6" t="s">
        <v>75</v>
      </c>
    </row>
    <row r="11" customFormat="false" ht="158.2" hidden="false" customHeight="false" outlineLevel="0" collapsed="false">
      <c r="A11" s="7" t="n">
        <f aca="false">RANK(K11,$K$2:$K$21)+COUNTIF($K$2:K11,K11)-1</f>
        <v>10</v>
      </c>
      <c r="B11" s="6" t="s">
        <v>206</v>
      </c>
      <c r="C11" s="7" t="s">
        <v>207</v>
      </c>
      <c r="D11" s="6" t="s">
        <v>208</v>
      </c>
      <c r="E11" s="6" t="s">
        <v>5</v>
      </c>
      <c r="F11" s="8" t="n">
        <v>13</v>
      </c>
      <c r="G11" s="8" t="n">
        <v>24</v>
      </c>
      <c r="H11" s="8" t="n">
        <v>8</v>
      </c>
      <c r="I11" s="8" t="n">
        <v>9</v>
      </c>
      <c r="J11" s="8" t="n">
        <v>5</v>
      </c>
      <c r="K11" s="7" t="n">
        <f aca="false">SUM(F11:J11)</f>
        <v>59</v>
      </c>
      <c r="L11" s="7" t="n">
        <v>68</v>
      </c>
      <c r="M11" s="7" t="n">
        <f aca="false">K11-L11</f>
        <v>-9</v>
      </c>
      <c r="N11" s="6" t="s">
        <v>209</v>
      </c>
      <c r="O11" s="6" t="s">
        <v>210</v>
      </c>
      <c r="P11" s="6" t="s">
        <v>211</v>
      </c>
      <c r="Q11" s="6" t="s">
        <v>212</v>
      </c>
      <c r="R11" s="6" t="s">
        <v>83</v>
      </c>
      <c r="S11" s="6" t="s">
        <v>84</v>
      </c>
      <c r="T11" s="6" t="s">
        <v>213</v>
      </c>
      <c r="U11" s="6" t="s">
        <v>65</v>
      </c>
      <c r="V11" s="6" t="s">
        <v>214</v>
      </c>
      <c r="W11" s="6" t="s">
        <v>215</v>
      </c>
      <c r="X11" s="6" t="s">
        <v>216</v>
      </c>
      <c r="Y11" s="6" t="s">
        <v>217</v>
      </c>
      <c r="Z11" s="6" t="s">
        <v>83</v>
      </c>
      <c r="AA11" s="6" t="s">
        <v>218</v>
      </c>
      <c r="AB11" s="6" t="s">
        <v>219</v>
      </c>
      <c r="AC11" s="6" t="s">
        <v>125</v>
      </c>
      <c r="AD11" s="6" t="s">
        <v>182</v>
      </c>
      <c r="AE11" s="6" t="s">
        <v>220</v>
      </c>
      <c r="AF11" s="7"/>
      <c r="AG11" s="6" t="s">
        <v>75</v>
      </c>
    </row>
    <row r="12" customFormat="false" ht="180.55" hidden="false" customHeight="false" outlineLevel="0" collapsed="false">
      <c r="A12" s="7" t="n">
        <f aca="false">RANK(K12,$K$2:$K$21)+COUNTIF($K$2:K12,K12)-1</f>
        <v>11</v>
      </c>
      <c r="B12" s="6" t="s">
        <v>221</v>
      </c>
      <c r="C12" s="7" t="s">
        <v>222</v>
      </c>
      <c r="D12" s="6" t="s">
        <v>223</v>
      </c>
      <c r="E12" s="6" t="s">
        <v>5</v>
      </c>
      <c r="F12" s="8" t="n">
        <v>13</v>
      </c>
      <c r="G12" s="8" t="n">
        <v>20</v>
      </c>
      <c r="H12" s="8" t="n">
        <v>11</v>
      </c>
      <c r="I12" s="8" t="n">
        <v>7</v>
      </c>
      <c r="J12" s="8" t="n">
        <v>8</v>
      </c>
      <c r="K12" s="7" t="n">
        <f aca="false">SUM(F12:J12)</f>
        <v>59</v>
      </c>
      <c r="L12" s="7" t="n">
        <v>82</v>
      </c>
      <c r="M12" s="7" t="n">
        <f aca="false">K12-L12</f>
        <v>-23</v>
      </c>
      <c r="N12" s="6" t="s">
        <v>224</v>
      </c>
      <c r="O12" s="6" t="s">
        <v>225</v>
      </c>
      <c r="P12" s="6" t="s">
        <v>226</v>
      </c>
      <c r="Q12" s="6" t="s">
        <v>227</v>
      </c>
      <c r="R12" s="6" t="s">
        <v>83</v>
      </c>
      <c r="S12" s="6" t="s">
        <v>84</v>
      </c>
      <c r="T12" s="6" t="s">
        <v>228</v>
      </c>
      <c r="U12" s="6" t="s">
        <v>65</v>
      </c>
      <c r="V12" s="6" t="s">
        <v>229</v>
      </c>
      <c r="W12" s="6" t="s">
        <v>230</v>
      </c>
      <c r="X12" s="6" t="s">
        <v>231</v>
      </c>
      <c r="Y12" s="6" t="s">
        <v>232</v>
      </c>
      <c r="Z12" s="6" t="s">
        <v>233</v>
      </c>
      <c r="AA12" s="6" t="s">
        <v>234</v>
      </c>
      <c r="AB12" s="6" t="s">
        <v>235</v>
      </c>
      <c r="AC12" s="6" t="s">
        <v>63</v>
      </c>
      <c r="AD12" s="6" t="s">
        <v>65</v>
      </c>
      <c r="AE12" s="6" t="s">
        <v>236</v>
      </c>
      <c r="AF12" s="7"/>
      <c r="AG12" s="6" t="s">
        <v>75</v>
      </c>
    </row>
    <row r="13" customFormat="false" ht="147" hidden="false" customHeight="false" outlineLevel="0" collapsed="false">
      <c r="A13" s="7" t="n">
        <f aca="false">RANK(K13,$K$2:$K$21)+COUNTIF($K$2:K13,K13)-1</f>
        <v>12</v>
      </c>
      <c r="B13" s="6" t="s">
        <v>237</v>
      </c>
      <c r="C13" s="7" t="s">
        <v>238</v>
      </c>
      <c r="D13" s="6" t="s">
        <v>239</v>
      </c>
      <c r="E13" s="6" t="s">
        <v>7</v>
      </c>
      <c r="F13" s="8" t="n">
        <v>10</v>
      </c>
      <c r="G13" s="8" t="n">
        <v>13</v>
      </c>
      <c r="H13" s="8" t="n">
        <v>11</v>
      </c>
      <c r="I13" s="8" t="n">
        <v>6</v>
      </c>
      <c r="J13" s="8" t="n">
        <v>12</v>
      </c>
      <c r="K13" s="7" t="n">
        <f aca="false">SUM(F13:J13)</f>
        <v>52</v>
      </c>
      <c r="L13" s="7" t="n">
        <v>65</v>
      </c>
      <c r="M13" s="7" t="n">
        <f aca="false">K13-L13</f>
        <v>-13</v>
      </c>
      <c r="N13" s="6" t="s">
        <v>240</v>
      </c>
      <c r="O13" s="6" t="s">
        <v>241</v>
      </c>
      <c r="P13" s="6" t="s">
        <v>242</v>
      </c>
      <c r="Q13" s="6" t="s">
        <v>243</v>
      </c>
      <c r="R13" s="6" t="s">
        <v>83</v>
      </c>
      <c r="S13" s="6" t="s">
        <v>84</v>
      </c>
      <c r="T13" s="6" t="s">
        <v>244</v>
      </c>
      <c r="U13" s="6" t="s">
        <v>65</v>
      </c>
      <c r="V13" s="6" t="s">
        <v>245</v>
      </c>
      <c r="W13" s="6" t="s">
        <v>246</v>
      </c>
      <c r="X13" s="6" t="s">
        <v>247</v>
      </c>
      <c r="Y13" s="6" t="s">
        <v>248</v>
      </c>
      <c r="Z13" s="6" t="s">
        <v>249</v>
      </c>
      <c r="AA13" s="6" t="s">
        <v>250</v>
      </c>
      <c r="AB13" s="6" t="s">
        <v>251</v>
      </c>
      <c r="AC13" s="6" t="s">
        <v>63</v>
      </c>
      <c r="AD13" s="6" t="s">
        <v>65</v>
      </c>
      <c r="AE13" s="6" t="s">
        <v>252</v>
      </c>
      <c r="AF13" s="7"/>
      <c r="AG13" s="6" t="s">
        <v>75</v>
      </c>
    </row>
    <row r="14" customFormat="false" ht="180.55" hidden="false" customHeight="false" outlineLevel="0" collapsed="false">
      <c r="A14" s="7" t="n">
        <f aca="false">RANK(K14,$K$2:$K$21)+COUNTIF($K$2:K14,K14)-1</f>
        <v>13</v>
      </c>
      <c r="B14" s="6" t="s">
        <v>253</v>
      </c>
      <c r="C14" s="7" t="s">
        <v>254</v>
      </c>
      <c r="D14" s="6" t="s">
        <v>255</v>
      </c>
      <c r="E14" s="6" t="s">
        <v>8</v>
      </c>
      <c r="F14" s="8" t="n">
        <v>11</v>
      </c>
      <c r="G14" s="8" t="n">
        <v>15</v>
      </c>
      <c r="H14" s="8" t="n">
        <v>5</v>
      </c>
      <c r="I14" s="8" t="n">
        <v>3</v>
      </c>
      <c r="J14" s="8" t="n">
        <v>11</v>
      </c>
      <c r="K14" s="7" t="n">
        <f aca="false">SUM(F14:J14)</f>
        <v>45</v>
      </c>
      <c r="L14" s="7" t="n">
        <v>52</v>
      </c>
      <c r="M14" s="7" t="n">
        <f aca="false">K14-L14</f>
        <v>-7</v>
      </c>
      <c r="N14" s="6" t="s">
        <v>256</v>
      </c>
      <c r="O14" s="6" t="s">
        <v>257</v>
      </c>
      <c r="P14" s="6" t="s">
        <v>258</v>
      </c>
      <c r="Q14" s="6" t="s">
        <v>259</v>
      </c>
      <c r="R14" s="6" t="s">
        <v>83</v>
      </c>
      <c r="S14" s="6" t="s">
        <v>84</v>
      </c>
      <c r="T14" s="6" t="s">
        <v>260</v>
      </c>
      <c r="U14" s="6" t="s">
        <v>65</v>
      </c>
      <c r="V14" s="6" t="s">
        <v>261</v>
      </c>
      <c r="W14" s="6" t="s">
        <v>262</v>
      </c>
      <c r="X14" s="6" t="s">
        <v>263</v>
      </c>
      <c r="Y14" s="6" t="s">
        <v>264</v>
      </c>
      <c r="Z14" s="6" t="s">
        <v>265</v>
      </c>
      <c r="AA14" s="6" t="s">
        <v>266</v>
      </c>
      <c r="AB14" s="6" t="s">
        <v>267</v>
      </c>
      <c r="AC14" s="6" t="s">
        <v>63</v>
      </c>
      <c r="AD14" s="6" t="s">
        <v>65</v>
      </c>
      <c r="AE14" s="6" t="s">
        <v>268</v>
      </c>
      <c r="AF14" s="6" t="s">
        <v>269</v>
      </c>
      <c r="AG14" s="6" t="s">
        <v>75</v>
      </c>
    </row>
    <row r="15" customFormat="false" ht="135.8" hidden="false" customHeight="false" outlineLevel="0" collapsed="false">
      <c r="A15" s="7" t="n">
        <f aca="false">RANK(K15,$K$2:$K$21)+COUNTIF($K$2:K15,K15)-1</f>
        <v>14</v>
      </c>
      <c r="B15" s="6" t="s">
        <v>270</v>
      </c>
      <c r="C15" s="7" t="s">
        <v>271</v>
      </c>
      <c r="D15" s="6" t="s">
        <v>272</v>
      </c>
      <c r="E15" s="6" t="s">
        <v>7</v>
      </c>
      <c r="F15" s="8" t="n">
        <v>10</v>
      </c>
      <c r="G15" s="8" t="n">
        <v>13</v>
      </c>
      <c r="H15" s="8" t="n">
        <v>6</v>
      </c>
      <c r="I15" s="8" t="n">
        <v>6</v>
      </c>
      <c r="J15" s="8" t="n">
        <v>4</v>
      </c>
      <c r="K15" s="7" t="n">
        <f aca="false">SUM(F15:J15)</f>
        <v>39</v>
      </c>
      <c r="L15" s="7" t="n">
        <v>61</v>
      </c>
      <c r="M15" s="7" t="n">
        <f aca="false">K15-L15</f>
        <v>-22</v>
      </c>
      <c r="N15" s="6" t="s">
        <v>273</v>
      </c>
      <c r="O15" s="6" t="s">
        <v>274</v>
      </c>
      <c r="P15" s="6" t="s">
        <v>275</v>
      </c>
      <c r="Q15" s="6" t="s">
        <v>276</v>
      </c>
      <c r="R15" s="6" t="s">
        <v>83</v>
      </c>
      <c r="S15" s="6" t="s">
        <v>84</v>
      </c>
      <c r="T15" s="6" t="s">
        <v>277</v>
      </c>
      <c r="U15" s="6" t="s">
        <v>73</v>
      </c>
      <c r="V15" s="6" t="s">
        <v>278</v>
      </c>
      <c r="W15" s="6" t="s">
        <v>279</v>
      </c>
      <c r="X15" s="6" t="s">
        <v>280</v>
      </c>
      <c r="Y15" s="6" t="s">
        <v>281</v>
      </c>
      <c r="Z15" s="6" t="s">
        <v>282</v>
      </c>
      <c r="AA15" s="6" t="s">
        <v>83</v>
      </c>
      <c r="AB15" s="6" t="s">
        <v>172</v>
      </c>
      <c r="AC15" s="6" t="s">
        <v>125</v>
      </c>
      <c r="AD15" s="6" t="s">
        <v>65</v>
      </c>
      <c r="AE15" s="6" t="s">
        <v>83</v>
      </c>
      <c r="AF15" s="7"/>
      <c r="AG15" s="6" t="s">
        <v>75</v>
      </c>
    </row>
    <row r="16" customFormat="false" ht="158.2" hidden="false" customHeight="false" outlineLevel="0" collapsed="false">
      <c r="A16" s="7" t="n">
        <f aca="false">RANK(K16,$K$2:$K$21)+COUNTIF($K$2:K16,K16)-1</f>
        <v>15</v>
      </c>
      <c r="B16" s="6" t="s">
        <v>283</v>
      </c>
      <c r="C16" s="7" t="s">
        <v>284</v>
      </c>
      <c r="D16" s="6" t="s">
        <v>285</v>
      </c>
      <c r="E16" s="6" t="s">
        <v>8</v>
      </c>
      <c r="F16" s="8" t="n">
        <v>8</v>
      </c>
      <c r="G16" s="8" t="n">
        <v>10</v>
      </c>
      <c r="H16" s="8" t="n">
        <v>6</v>
      </c>
      <c r="I16" s="8" t="n">
        <v>4</v>
      </c>
      <c r="J16" s="8" t="n">
        <v>7</v>
      </c>
      <c r="K16" s="7" t="n">
        <f aca="false">SUM(F16:J16)</f>
        <v>35</v>
      </c>
      <c r="L16" s="7" t="n">
        <v>46</v>
      </c>
      <c r="M16" s="7" t="n">
        <f aca="false">K16-L16</f>
        <v>-11</v>
      </c>
      <c r="N16" s="6" t="s">
        <v>286</v>
      </c>
      <c r="O16" s="6" t="s">
        <v>287</v>
      </c>
      <c r="P16" s="6" t="s">
        <v>288</v>
      </c>
      <c r="Q16" s="6" t="s">
        <v>289</v>
      </c>
      <c r="R16" s="6" t="s">
        <v>83</v>
      </c>
      <c r="S16" s="6" t="s">
        <v>84</v>
      </c>
      <c r="T16" s="6" t="s">
        <v>290</v>
      </c>
      <c r="U16" s="6" t="s">
        <v>65</v>
      </c>
      <c r="V16" s="6" t="s">
        <v>291</v>
      </c>
      <c r="W16" s="6" t="s">
        <v>292</v>
      </c>
      <c r="X16" s="6" t="s">
        <v>293</v>
      </c>
      <c r="Y16" s="6" t="s">
        <v>294</v>
      </c>
      <c r="Z16" s="6" t="s">
        <v>83</v>
      </c>
      <c r="AA16" s="6" t="s">
        <v>295</v>
      </c>
      <c r="AB16" s="6" t="s">
        <v>296</v>
      </c>
      <c r="AC16" s="6" t="s">
        <v>63</v>
      </c>
      <c r="AD16" s="6" t="s">
        <v>65</v>
      </c>
      <c r="AE16" s="6" t="s">
        <v>297</v>
      </c>
      <c r="AF16" s="6" t="s">
        <v>298</v>
      </c>
      <c r="AG16" s="6" t="s">
        <v>75</v>
      </c>
    </row>
    <row r="17" customFormat="false" ht="113.4" hidden="false" customHeight="false" outlineLevel="0" collapsed="false">
      <c r="A17" s="7" t="n">
        <f aca="false">RANK(K17,$K$2:$K$21)+COUNTIF($K$2:K17,K17)-1</f>
        <v>16</v>
      </c>
      <c r="B17" s="6" t="s">
        <v>299</v>
      </c>
      <c r="C17" s="7" t="s">
        <v>300</v>
      </c>
      <c r="D17" s="6" t="s">
        <v>301</v>
      </c>
      <c r="E17" s="6" t="s">
        <v>8</v>
      </c>
      <c r="F17" s="8" t="n">
        <v>7</v>
      </c>
      <c r="G17" s="8" t="n">
        <v>10</v>
      </c>
      <c r="H17" s="8" t="n">
        <v>3</v>
      </c>
      <c r="I17" s="8" t="n">
        <v>3</v>
      </c>
      <c r="J17" s="8" t="n">
        <v>11</v>
      </c>
      <c r="K17" s="7" t="n">
        <f aca="false">SUM(F17:J17)</f>
        <v>34</v>
      </c>
      <c r="L17" s="7" t="n">
        <v>49</v>
      </c>
      <c r="M17" s="7" t="n">
        <f aca="false">K17-L17</f>
        <v>-15</v>
      </c>
      <c r="N17" s="6" t="s">
        <v>302</v>
      </c>
      <c r="O17" s="6" t="s">
        <v>303</v>
      </c>
      <c r="P17" s="6" t="s">
        <v>304</v>
      </c>
      <c r="Q17" s="6" t="s">
        <v>305</v>
      </c>
      <c r="R17" s="6" t="s">
        <v>83</v>
      </c>
      <c r="S17" s="6" t="s">
        <v>84</v>
      </c>
      <c r="T17" s="6" t="s">
        <v>306</v>
      </c>
      <c r="U17" s="6" t="s">
        <v>73</v>
      </c>
      <c r="V17" s="6" t="s">
        <v>307</v>
      </c>
      <c r="W17" s="6" t="s">
        <v>308</v>
      </c>
      <c r="X17" s="6" t="s">
        <v>309</v>
      </c>
      <c r="Y17" s="6" t="s">
        <v>310</v>
      </c>
      <c r="Z17" s="6" t="s">
        <v>311</v>
      </c>
      <c r="AA17" s="6" t="s">
        <v>312</v>
      </c>
      <c r="AB17" s="6" t="s">
        <v>313</v>
      </c>
      <c r="AC17" s="6" t="s">
        <v>63</v>
      </c>
      <c r="AD17" s="6" t="s">
        <v>65</v>
      </c>
      <c r="AE17" s="6" t="s">
        <v>314</v>
      </c>
      <c r="AF17" s="6" t="s">
        <v>315</v>
      </c>
      <c r="AG17" s="6" t="s">
        <v>75</v>
      </c>
    </row>
    <row r="18" customFormat="false" ht="102.2" hidden="false" customHeight="false" outlineLevel="0" collapsed="false">
      <c r="A18" s="7" t="n">
        <f aca="false">RANK(K18,$K$2:$K$21)+COUNTIF($K$2:K18,K18)-1</f>
        <v>17</v>
      </c>
      <c r="B18" s="6" t="s">
        <v>316</v>
      </c>
      <c r="C18" s="7" t="s">
        <v>317</v>
      </c>
      <c r="D18" s="6" t="s">
        <v>318</v>
      </c>
      <c r="E18" s="6" t="s">
        <v>8</v>
      </c>
      <c r="F18" s="8" t="n">
        <v>8</v>
      </c>
      <c r="G18" s="8" t="n">
        <v>14</v>
      </c>
      <c r="H18" s="8" t="n">
        <v>4</v>
      </c>
      <c r="I18" s="8" t="n">
        <v>2</v>
      </c>
      <c r="J18" s="8" t="n">
        <v>4</v>
      </c>
      <c r="K18" s="7" t="n">
        <f aca="false">SUM(F18:J18)</f>
        <v>32</v>
      </c>
      <c r="L18" s="7" t="n">
        <v>39</v>
      </c>
      <c r="M18" s="7" t="n">
        <f aca="false">K18-L18</f>
        <v>-7</v>
      </c>
      <c r="N18" s="6" t="s">
        <v>319</v>
      </c>
      <c r="O18" s="6" t="s">
        <v>320</v>
      </c>
      <c r="P18" s="6" t="s">
        <v>321</v>
      </c>
      <c r="Q18" s="6" t="s">
        <v>322</v>
      </c>
      <c r="R18" s="6" t="s">
        <v>83</v>
      </c>
      <c r="S18" s="6" t="s">
        <v>84</v>
      </c>
      <c r="T18" s="6" t="s">
        <v>323</v>
      </c>
      <c r="U18" s="6" t="s">
        <v>65</v>
      </c>
      <c r="V18" s="6" t="s">
        <v>324</v>
      </c>
      <c r="W18" s="6" t="s">
        <v>325</v>
      </c>
      <c r="X18" s="6" t="s">
        <v>326</v>
      </c>
      <c r="Y18" s="6" t="s">
        <v>327</v>
      </c>
      <c r="Z18" s="6" t="s">
        <v>83</v>
      </c>
      <c r="AA18" s="6" t="s">
        <v>328</v>
      </c>
      <c r="AB18" s="6" t="s">
        <v>329</v>
      </c>
      <c r="AC18" s="6" t="s">
        <v>63</v>
      </c>
      <c r="AD18" s="6" t="s">
        <v>73</v>
      </c>
      <c r="AE18" s="6" t="s">
        <v>330</v>
      </c>
      <c r="AF18" s="6" t="s">
        <v>331</v>
      </c>
      <c r="AG18" s="6" t="s">
        <v>75</v>
      </c>
    </row>
    <row r="19" customFormat="false" ht="102.2" hidden="false" customHeight="false" outlineLevel="0" collapsed="false">
      <c r="A19" s="7" t="n">
        <f aca="false">RANK(K19,$K$2:$K$21)+COUNTIF($K$2:K19,K19)-1</f>
        <v>18</v>
      </c>
      <c r="B19" s="6" t="s">
        <v>332</v>
      </c>
      <c r="C19" s="7" t="s">
        <v>333</v>
      </c>
      <c r="D19" s="6" t="s">
        <v>334</v>
      </c>
      <c r="E19" s="6" t="s">
        <v>8</v>
      </c>
      <c r="F19" s="8" t="n">
        <v>11</v>
      </c>
      <c r="G19" s="8" t="n">
        <v>8</v>
      </c>
      <c r="H19" s="8" t="n">
        <v>4</v>
      </c>
      <c r="I19" s="8" t="n">
        <v>1</v>
      </c>
      <c r="J19" s="8" t="n">
        <v>7</v>
      </c>
      <c r="K19" s="7" t="n">
        <f aca="false">SUM(F19:J19)</f>
        <v>31</v>
      </c>
      <c r="L19" s="7" t="n">
        <v>46</v>
      </c>
      <c r="M19" s="7" t="n">
        <f aca="false">K19-L19</f>
        <v>-15</v>
      </c>
      <c r="N19" s="6" t="s">
        <v>335</v>
      </c>
      <c r="O19" s="6" t="s">
        <v>336</v>
      </c>
      <c r="P19" s="6" t="s">
        <v>337</v>
      </c>
      <c r="Q19" s="6" t="s">
        <v>338</v>
      </c>
      <c r="R19" s="6" t="s">
        <v>83</v>
      </c>
      <c r="S19" s="6" t="s">
        <v>84</v>
      </c>
      <c r="T19" s="6" t="s">
        <v>339</v>
      </c>
      <c r="U19" s="6" t="s">
        <v>65</v>
      </c>
      <c r="V19" s="6" t="s">
        <v>340</v>
      </c>
      <c r="W19" s="6" t="s">
        <v>341</v>
      </c>
      <c r="X19" s="6" t="s">
        <v>342</v>
      </c>
      <c r="Y19" s="6" t="s">
        <v>343</v>
      </c>
      <c r="Z19" s="6" t="s">
        <v>344</v>
      </c>
      <c r="AA19" s="6" t="s">
        <v>345</v>
      </c>
      <c r="AB19" s="6" t="s">
        <v>346</v>
      </c>
      <c r="AC19" s="6" t="s">
        <v>125</v>
      </c>
      <c r="AD19" s="6" t="s">
        <v>65</v>
      </c>
      <c r="AE19" s="6" t="s">
        <v>347</v>
      </c>
      <c r="AF19" s="6" t="s">
        <v>348</v>
      </c>
      <c r="AG19" s="6" t="s">
        <v>75</v>
      </c>
    </row>
    <row r="20" customFormat="false" ht="113.4" hidden="false" customHeight="false" outlineLevel="0" collapsed="false">
      <c r="A20" s="7" t="n">
        <f aca="false">RANK(K20,$K$2:$K$21)+COUNTIF($K$2:K20,K20)-1</f>
        <v>19</v>
      </c>
      <c r="B20" s="6" t="s">
        <v>349</v>
      </c>
      <c r="C20" s="7" t="s">
        <v>350</v>
      </c>
      <c r="D20" s="6" t="s">
        <v>351</v>
      </c>
      <c r="E20" s="6" t="s">
        <v>8</v>
      </c>
      <c r="F20" s="8" t="n">
        <v>5</v>
      </c>
      <c r="G20" s="8" t="n">
        <v>8</v>
      </c>
      <c r="H20" s="8" t="n">
        <v>4</v>
      </c>
      <c r="I20" s="8" t="n">
        <v>4</v>
      </c>
      <c r="J20" s="8" t="n">
        <v>9</v>
      </c>
      <c r="K20" s="7" t="n">
        <f aca="false">SUM(F20:J20)</f>
        <v>30</v>
      </c>
      <c r="L20" s="7" t="n">
        <v>55</v>
      </c>
      <c r="M20" s="7" t="n">
        <f aca="false">K20-L20</f>
        <v>-25</v>
      </c>
      <c r="N20" s="6" t="s">
        <v>352</v>
      </c>
      <c r="O20" s="6" t="s">
        <v>353</v>
      </c>
      <c r="P20" s="6" t="s">
        <v>354</v>
      </c>
      <c r="Q20" s="6" t="s">
        <v>355</v>
      </c>
      <c r="R20" s="6" t="s">
        <v>83</v>
      </c>
      <c r="S20" s="6" t="s">
        <v>84</v>
      </c>
      <c r="T20" s="6" t="s">
        <v>356</v>
      </c>
      <c r="U20" s="6" t="s">
        <v>65</v>
      </c>
      <c r="V20" s="6" t="s">
        <v>357</v>
      </c>
      <c r="W20" s="6" t="s">
        <v>358</v>
      </c>
      <c r="X20" s="6" t="s">
        <v>359</v>
      </c>
      <c r="Y20" s="6" t="s">
        <v>360</v>
      </c>
      <c r="Z20" s="6" t="s">
        <v>361</v>
      </c>
      <c r="AA20" s="6" t="s">
        <v>362</v>
      </c>
      <c r="AB20" s="6" t="s">
        <v>363</v>
      </c>
      <c r="AC20" s="6" t="s">
        <v>63</v>
      </c>
      <c r="AD20" s="6" t="s">
        <v>65</v>
      </c>
      <c r="AE20" s="6" t="s">
        <v>364</v>
      </c>
      <c r="AF20" s="6" t="s">
        <v>365</v>
      </c>
      <c r="AG20" s="6" t="s">
        <v>75</v>
      </c>
    </row>
    <row r="21" customFormat="false" ht="91" hidden="false" customHeight="false" outlineLevel="0" collapsed="false">
      <c r="A21" s="7" t="n">
        <f aca="false">RANK(K21,$K$2:$K$21)+COUNTIF($K$2:K21,K21)-1</f>
        <v>20</v>
      </c>
      <c r="B21" s="6" t="s">
        <v>366</v>
      </c>
      <c r="C21" s="7" t="s">
        <v>367</v>
      </c>
      <c r="D21" s="6" t="s">
        <v>368</v>
      </c>
      <c r="E21" s="6" t="s">
        <v>8</v>
      </c>
      <c r="F21" s="8" t="n">
        <v>8</v>
      </c>
      <c r="G21" s="8" t="n">
        <v>8</v>
      </c>
      <c r="H21" s="8" t="n">
        <v>4</v>
      </c>
      <c r="I21" s="8" t="n">
        <v>3</v>
      </c>
      <c r="J21" s="8" t="n">
        <v>2</v>
      </c>
      <c r="K21" s="7" t="n">
        <f aca="false">SUM(F21:J21)</f>
        <v>25</v>
      </c>
      <c r="L21" s="7" t="n">
        <v>53</v>
      </c>
      <c r="M21" s="7" t="n">
        <f aca="false">K21-L21</f>
        <v>-28</v>
      </c>
      <c r="N21" s="6" t="s">
        <v>369</v>
      </c>
      <c r="O21" s="6" t="s">
        <v>370</v>
      </c>
      <c r="P21" s="6" t="s">
        <v>371</v>
      </c>
      <c r="Q21" s="6" t="s">
        <v>372</v>
      </c>
      <c r="R21" s="6" t="s">
        <v>83</v>
      </c>
      <c r="S21" s="6" t="s">
        <v>84</v>
      </c>
      <c r="T21" s="6" t="s">
        <v>373</v>
      </c>
      <c r="U21" s="6" t="s">
        <v>73</v>
      </c>
      <c r="V21" s="7"/>
      <c r="W21" s="6" t="s">
        <v>374</v>
      </c>
      <c r="X21" s="6" t="s">
        <v>375</v>
      </c>
      <c r="Y21" s="6" t="s">
        <v>376</v>
      </c>
      <c r="Z21" s="6" t="s">
        <v>83</v>
      </c>
      <c r="AA21" s="6" t="s">
        <v>83</v>
      </c>
      <c r="AB21" s="6" t="s">
        <v>83</v>
      </c>
      <c r="AC21" s="6" t="s">
        <v>63</v>
      </c>
      <c r="AD21" s="6" t="s">
        <v>73</v>
      </c>
      <c r="AE21" s="6" t="s">
        <v>83</v>
      </c>
      <c r="AF21" s="6" t="s">
        <v>377</v>
      </c>
      <c r="AG21" s="6" t="s">
        <v>75</v>
      </c>
    </row>
  </sheetData>
  <autoFilter ref="A1:AG21"/>
  <conditionalFormatting sqref="A2:AG21">
    <cfRule type="expression" priority="2" aboveAverage="0" equalAverage="0" bottom="0" percent="0" rank="0" text="" dxfId="8">
      <formula>$E2="TOP-10 · Приоритет 1"</formula>
    </cfRule>
    <cfRule type="expression" priority="3" aboveAverage="0" equalAverage="0" bottom="0" percent="0" rank="0" text="" dxfId="9">
      <formula>$E2="TOP-10 · Приоритет 2"</formula>
    </cfRule>
    <cfRule type="expression" priority="4" aboveAverage="0" equalAverage="0" bottom="0" percent="0" rank="0" text="" dxfId="10">
      <formula>LEFT($E2,8)="Отложено"</formula>
    </cfRule>
    <cfRule type="expression" priority="5" aboveAverage="0" equalAverage="0" bottom="0" percent="0" rank="0" text="" dxfId="11">
      <formula>$E2="Исключено"</formula>
    </cfRule>
  </conditionalFormatting>
  <hyperlinks>
    <hyperlink ref="C2" r:id="rId1" display="https://accace.com"/>
    <hyperlink ref="C3" r:id="rId2" display="https://eurofast.eu"/>
    <hyperlink ref="C4" r:id="rId3" display="https://bridgewest.eu"/>
    <hyperlink ref="C5" r:id="rId4" display="https://www.healyconsultants.com"/>
    <hyperlink ref="C6" r:id="rId5" display="https://www.commitbiz.com"/>
    <hyperlink ref="C7" r:id="rId6" display="https://www.sovereigngroup.com"/>
    <hyperlink ref="C8" r:id="rId7" display="https://www.tmf-group.com"/>
    <hyperlink ref="C9" r:id="rId8" display="https://gsl.org"/>
    <hyperlink ref="C10" r:id="rId9" display="https://www.uniwide.com"/>
    <hyperlink ref="C11" r:id="rId10" display="https://www.vistra.com"/>
    <hyperlink ref="C12" r:id="rId11" display="https://virtuzone.com"/>
    <hyperlink ref="C13" r:id="rId12" display="https://www.rizmona.com"/>
    <hyperlink ref="C14" r:id="rId13" display="https://www.creationbc.com"/>
    <hyperlink ref="C15" r:id="rId14" display="https://www.tetraconsultants.com"/>
    <hyperlink ref="C16" r:id="rId15" display="https://www.incorp.asia"/>
    <hyperlink ref="C17" r:id="rId16" display="https://avyanco.com"/>
    <hyperlink ref="C18" r:id="rId17" display="https://iqeq.com"/>
    <hyperlink ref="C19" r:id="rId18" display="https://sleek.com"/>
    <hyperlink ref="C20" r:id="rId19" display="https://www.shuraa.com"/>
    <hyperlink ref="C21" r:id="rId20" display="https://www.sfmoffshor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50"/>
    <col collapsed="false" customWidth="true" hidden="false" outlineLevel="0" max="8" min="8" style="0" width="45"/>
    <col collapsed="false" customWidth="true" hidden="false" outlineLevel="0" max="9" min="9" style="0" width="40"/>
    <col collapsed="false" customWidth="true" hidden="false" outlineLevel="0" max="11" min="10" style="0" width="50"/>
  </cols>
  <sheetData>
    <row r="1" customFormat="false" ht="42" hidden="false" customHeight="true" outlineLevel="0" collapsed="false">
      <c r="A1" s="5" t="s">
        <v>378</v>
      </c>
      <c r="B1" s="5" t="s">
        <v>24</v>
      </c>
      <c r="C1" s="5" t="s">
        <v>2</v>
      </c>
      <c r="D1" s="5" t="s">
        <v>32</v>
      </c>
      <c r="E1" s="5" t="s">
        <v>39</v>
      </c>
      <c r="F1" s="5" t="s">
        <v>379</v>
      </c>
      <c r="G1" s="5" t="s">
        <v>380</v>
      </c>
      <c r="H1" s="5" t="s">
        <v>381</v>
      </c>
      <c r="I1" s="5" t="s">
        <v>382</v>
      </c>
      <c r="J1" s="5" t="s">
        <v>383</v>
      </c>
      <c r="K1" s="5" t="s">
        <v>384</v>
      </c>
    </row>
    <row r="2" customFormat="false" ht="57.45" hidden="false" customHeight="false" outlineLevel="0" collapsed="false">
      <c r="A2" s="9" t="n">
        <f aca="false">'Verified Database'!A2</f>
        <v>1</v>
      </c>
      <c r="B2" s="9" t="str">
        <f aca="false">'Verified Database'!B2</f>
        <v>Accace</v>
      </c>
      <c r="C2" s="9" t="str">
        <f aca="false">'Verified Database'!E2</f>
        <v>TOP-10 · Приоритет 1</v>
      </c>
      <c r="D2" s="9" t="n">
        <f aca="false">'Verified Database'!K2</f>
        <v>82</v>
      </c>
      <c r="E2" s="9" t="str">
        <f aca="false">'Verified Database'!R2</f>
        <v>offered</v>
      </c>
      <c r="F2" s="10" t="s">
        <v>385</v>
      </c>
      <c r="G2" s="10" t="s">
        <v>386</v>
      </c>
      <c r="H2" s="10" t="s">
        <v>387</v>
      </c>
      <c r="I2" s="10" t="s">
        <v>388</v>
      </c>
      <c r="J2" s="10" t="s">
        <v>389</v>
      </c>
      <c r="K2" s="10" t="s">
        <v>390</v>
      </c>
    </row>
    <row r="3" customFormat="false" ht="91" hidden="false" customHeight="false" outlineLevel="0" collapsed="false">
      <c r="A3" s="9" t="n">
        <f aca="false">'Verified Database'!A3</f>
        <v>2</v>
      </c>
      <c r="B3" s="9" t="str">
        <f aca="false">'Verified Database'!B3</f>
        <v>Eurofast</v>
      </c>
      <c r="C3" s="9" t="str">
        <f aca="false">'Verified Database'!E3</f>
        <v>TOP-10 · Приоритет 1</v>
      </c>
      <c r="D3" s="9" t="n">
        <f aca="false">'Verified Database'!K3</f>
        <v>76</v>
      </c>
      <c r="E3" s="9" t="str">
        <f aca="false">'Verified Database'!R3</f>
        <v>not found</v>
      </c>
      <c r="F3" s="10" t="s">
        <v>391</v>
      </c>
      <c r="G3" s="10" t="s">
        <v>392</v>
      </c>
      <c r="H3" s="10" t="s">
        <v>393</v>
      </c>
      <c r="I3" s="10" t="s">
        <v>394</v>
      </c>
      <c r="J3" s="10" t="s">
        <v>395</v>
      </c>
      <c r="K3" s="10" t="s">
        <v>396</v>
      </c>
    </row>
    <row r="4" customFormat="false" ht="57.45" hidden="false" customHeight="false" outlineLevel="0" collapsed="false">
      <c r="A4" s="9" t="n">
        <f aca="false">'Verified Database'!A4</f>
        <v>3</v>
      </c>
      <c r="B4" s="9" t="str">
        <f aca="false">'Verified Database'!B4</f>
        <v>BridgeWest (BridgeWest Legal Network)</v>
      </c>
      <c r="C4" s="9" t="str">
        <f aca="false">'Verified Database'!E4</f>
        <v>TOP-10 · Приоритет 1</v>
      </c>
      <c r="D4" s="9" t="n">
        <f aca="false">'Verified Database'!K4</f>
        <v>75</v>
      </c>
      <c r="E4" s="9" t="str">
        <f aca="false">'Verified Database'!R4</f>
        <v>offered</v>
      </c>
      <c r="F4" s="10" t="s">
        <v>397</v>
      </c>
      <c r="G4" s="10" t="s">
        <v>398</v>
      </c>
      <c r="H4" s="10" t="s">
        <v>399</v>
      </c>
      <c r="I4" s="10" t="s">
        <v>400</v>
      </c>
      <c r="J4" s="10" t="s">
        <v>401</v>
      </c>
      <c r="K4" s="10" t="s">
        <v>402</v>
      </c>
    </row>
    <row r="5" customFormat="false" ht="57.45" hidden="false" customHeight="false" outlineLevel="0" collapsed="false">
      <c r="A5" s="9" t="n">
        <f aca="false">'Verified Database'!A5</f>
        <v>4</v>
      </c>
      <c r="B5" s="9" t="str">
        <f aca="false">'Verified Database'!B5</f>
        <v>Healy Consultants Group (part of Hawksford)</v>
      </c>
      <c r="C5" s="9" t="str">
        <f aca="false">'Verified Database'!E5</f>
        <v>TOP-10 · Приоритет 1</v>
      </c>
      <c r="D5" s="9" t="n">
        <f aca="false">'Verified Database'!K5</f>
        <v>74</v>
      </c>
      <c r="E5" s="9" t="str">
        <f aca="false">'Verified Database'!R5</f>
        <v>offered</v>
      </c>
      <c r="F5" s="10" t="s">
        <v>403</v>
      </c>
      <c r="G5" s="10" t="s">
        <v>404</v>
      </c>
      <c r="H5" s="10" t="s">
        <v>405</v>
      </c>
      <c r="I5" s="10" t="s">
        <v>406</v>
      </c>
      <c r="J5" s="10" t="s">
        <v>407</v>
      </c>
      <c r="K5" s="10" t="s">
        <v>408</v>
      </c>
    </row>
    <row r="6" customFormat="false" ht="57.45" hidden="false" customHeight="false" outlineLevel="0" collapsed="false">
      <c r="A6" s="9" t="n">
        <f aca="false">'Verified Database'!A6</f>
        <v>5</v>
      </c>
      <c r="B6" s="9" t="str">
        <f aca="false">'Verified Database'!B6</f>
        <v>Commitbiz (Commitbiz LLC)</v>
      </c>
      <c r="C6" s="9" t="str">
        <f aca="false">'Verified Database'!E6</f>
        <v>TOP-10 · Приоритет 1</v>
      </c>
      <c r="D6" s="9" t="n">
        <f aca="false">'Verified Database'!K6</f>
        <v>70</v>
      </c>
      <c r="E6" s="9" t="str">
        <f aca="false">'Verified Database'!R6</f>
        <v>not found</v>
      </c>
      <c r="F6" s="10" t="s">
        <v>409</v>
      </c>
      <c r="G6" s="10" t="s">
        <v>410</v>
      </c>
      <c r="H6" s="10" t="s">
        <v>411</v>
      </c>
      <c r="I6" s="10" t="s">
        <v>412</v>
      </c>
      <c r="J6" s="10" t="s">
        <v>413</v>
      </c>
      <c r="K6" s="10" t="s">
        <v>414</v>
      </c>
    </row>
    <row r="7" customFormat="false" ht="91" hidden="false" customHeight="false" outlineLevel="0" collapsed="false">
      <c r="A7" s="9" t="n">
        <f aca="false">'Verified Database'!A7</f>
        <v>6</v>
      </c>
      <c r="B7" s="9" t="str">
        <f aca="false">'Verified Database'!B7</f>
        <v>The Sovereign Group</v>
      </c>
      <c r="C7" s="9" t="str">
        <f aca="false">'Verified Database'!E7</f>
        <v>TOP-10 · Приоритет 2</v>
      </c>
      <c r="D7" s="9" t="n">
        <f aca="false">'Verified Database'!K7</f>
        <v>69</v>
      </c>
      <c r="E7" s="9" t="str">
        <f aca="false">'Verified Database'!R7</f>
        <v>not found</v>
      </c>
      <c r="F7" s="10" t="s">
        <v>415</v>
      </c>
      <c r="G7" s="10" t="s">
        <v>416</v>
      </c>
      <c r="H7" s="10" t="s">
        <v>417</v>
      </c>
      <c r="I7" s="10" t="s">
        <v>418</v>
      </c>
      <c r="J7" s="10" t="s">
        <v>419</v>
      </c>
      <c r="K7" s="10" t="s">
        <v>420</v>
      </c>
    </row>
    <row r="8" customFormat="false" ht="68.65" hidden="false" customHeight="false" outlineLevel="0" collapsed="false">
      <c r="A8" s="9" t="n">
        <f aca="false">'Verified Database'!A8</f>
        <v>7</v>
      </c>
      <c r="B8" s="9" t="str">
        <f aca="false">'Verified Database'!B8</f>
        <v>TMF Group</v>
      </c>
      <c r="C8" s="9" t="str">
        <f aca="false">'Verified Database'!E8</f>
        <v>TOP-10 · Приоритет 2</v>
      </c>
      <c r="D8" s="9" t="n">
        <f aca="false">'Verified Database'!K8</f>
        <v>67</v>
      </c>
      <c r="E8" s="9" t="str">
        <f aca="false">'Verified Database'!R8</f>
        <v>not found</v>
      </c>
      <c r="F8" s="10" t="s">
        <v>421</v>
      </c>
      <c r="G8" s="10" t="s">
        <v>422</v>
      </c>
      <c r="H8" s="10" t="s">
        <v>423</v>
      </c>
      <c r="I8" s="10" t="s">
        <v>424</v>
      </c>
      <c r="J8" s="10" t="s">
        <v>425</v>
      </c>
      <c r="K8" s="10" t="s">
        <v>426</v>
      </c>
    </row>
    <row r="9" customFormat="false" ht="46.25" hidden="false" customHeight="false" outlineLevel="0" collapsed="false">
      <c r="A9" s="9" t="n">
        <f aca="false">'Verified Database'!A10</f>
        <v>9</v>
      </c>
      <c r="B9" s="9" t="str">
        <f aca="false">'Verified Database'!B10</f>
        <v>Uniwide</v>
      </c>
      <c r="C9" s="9" t="str">
        <f aca="false">'Verified Database'!E10</f>
        <v>TOP-10 · Приоритет 2</v>
      </c>
      <c r="D9" s="9" t="n">
        <f aca="false">'Verified Database'!K10</f>
        <v>60</v>
      </c>
      <c r="E9" s="9" t="str">
        <f aca="false">'Verified Database'!R10</f>
        <v>not found</v>
      </c>
      <c r="F9" s="10" t="s">
        <v>427</v>
      </c>
      <c r="G9" s="10" t="s">
        <v>428</v>
      </c>
      <c r="H9" s="10" t="s">
        <v>429</v>
      </c>
      <c r="I9" s="10" t="s">
        <v>430</v>
      </c>
      <c r="J9" s="10" t="s">
        <v>431</v>
      </c>
      <c r="K9" s="10" t="s">
        <v>432</v>
      </c>
    </row>
    <row r="10" customFormat="false" ht="57.45" hidden="false" customHeight="false" outlineLevel="0" collapsed="false">
      <c r="A10" s="9" t="n">
        <f aca="false">'Verified Database'!A11</f>
        <v>10</v>
      </c>
      <c r="B10" s="9" t="str">
        <f aca="false">'Verified Database'!B11</f>
        <v>Vistra (incl. Tricor; acquired Biz Latin Hub)</v>
      </c>
      <c r="C10" s="9" t="str">
        <f aca="false">'Verified Database'!E11</f>
        <v>TOP-10 · Приоритет 2</v>
      </c>
      <c r="D10" s="9" t="n">
        <f aca="false">'Verified Database'!K11</f>
        <v>59</v>
      </c>
      <c r="E10" s="9" t="str">
        <f aca="false">'Verified Database'!R11</f>
        <v>not found</v>
      </c>
      <c r="F10" s="10" t="s">
        <v>415</v>
      </c>
      <c r="G10" s="10" t="s">
        <v>433</v>
      </c>
      <c r="H10" s="10" t="s">
        <v>434</v>
      </c>
      <c r="I10" s="10" t="s">
        <v>435</v>
      </c>
      <c r="J10" s="10" t="s">
        <v>436</v>
      </c>
      <c r="K10" s="10" t="s">
        <v>437</v>
      </c>
    </row>
    <row r="11" customFormat="false" ht="79.85" hidden="false" customHeight="false" outlineLevel="0" collapsed="false">
      <c r="A11" s="9" t="n">
        <f aca="false">'Verified Database'!A12</f>
        <v>11</v>
      </c>
      <c r="B11" s="9" t="str">
        <f aca="false">'Verified Database'!B12</f>
        <v>Virtuzone</v>
      </c>
      <c r="C11" s="9" t="str">
        <f aca="false">'Verified Database'!E12</f>
        <v>TOP-10 · Приоритет 2</v>
      </c>
      <c r="D11" s="9" t="n">
        <f aca="false">'Verified Database'!K12</f>
        <v>59</v>
      </c>
      <c r="E11" s="9" t="str">
        <f aca="false">'Verified Database'!R12</f>
        <v>not found</v>
      </c>
      <c r="F11" s="10" t="s">
        <v>409</v>
      </c>
      <c r="G11" s="10" t="s">
        <v>438</v>
      </c>
      <c r="H11" s="10" t="s">
        <v>439</v>
      </c>
      <c r="I11" s="10" t="s">
        <v>440</v>
      </c>
      <c r="J11" s="10" t="s">
        <v>441</v>
      </c>
      <c r="K11" s="10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3" t="s">
        <v>443</v>
      </c>
    </row>
    <row r="2" customFormat="false" ht="15" hidden="false" customHeight="false" outlineLevel="0" collapsed="false">
      <c r="A2" s="2" t="s">
        <v>444</v>
      </c>
      <c r="B2" s="2" t="s">
        <v>445</v>
      </c>
      <c r="C2" s="2" t="n">
        <f aca="false">COUNTIF($C$13:$C$162,B2)</f>
        <v>76</v>
      </c>
    </row>
    <row r="3" customFormat="false" ht="15" hidden="false" customHeight="false" outlineLevel="0" collapsed="false">
      <c r="A3" s="2" t="s">
        <v>446</v>
      </c>
      <c r="B3" s="2" t="s">
        <v>447</v>
      </c>
      <c r="C3" s="2" t="n">
        <f aca="false">COUNTIF($C$13:$C$162,B3)</f>
        <v>6</v>
      </c>
    </row>
    <row r="4" customFormat="false" ht="15" hidden="false" customHeight="false" outlineLevel="0" collapsed="false">
      <c r="A4" s="2" t="s">
        <v>448</v>
      </c>
      <c r="B4" s="2" t="s">
        <v>449</v>
      </c>
      <c r="C4" s="2" t="n">
        <f aca="false">COUNTIF($C$13:$C$162,B4)</f>
        <v>17</v>
      </c>
    </row>
    <row r="5" customFormat="false" ht="15" hidden="false" customHeight="false" outlineLevel="0" collapsed="false">
      <c r="A5" s="2" t="s">
        <v>450</v>
      </c>
      <c r="B5" s="2" t="s">
        <v>451</v>
      </c>
      <c r="C5" s="2" t="n">
        <f aca="false">COUNTIF($C$13:$C$162,B5)</f>
        <v>7</v>
      </c>
    </row>
    <row r="6" customFormat="false" ht="15" hidden="false" customHeight="false" outlineLevel="0" collapsed="false">
      <c r="A6" s="2" t="s">
        <v>452</v>
      </c>
      <c r="B6" s="2" t="s">
        <v>453</v>
      </c>
      <c r="C6" s="2" t="n">
        <f aca="false">COUNTIF($C$13:$C$162,B6)</f>
        <v>3</v>
      </c>
    </row>
    <row r="7" customFormat="false" ht="15" hidden="false" customHeight="false" outlineLevel="0" collapsed="false">
      <c r="A7" s="2" t="s">
        <v>454</v>
      </c>
      <c r="B7" s="2" t="s">
        <v>455</v>
      </c>
      <c r="C7" s="2" t="n">
        <f aca="false">COUNTIF($C$13:$C$162,B7)</f>
        <v>41</v>
      </c>
    </row>
    <row r="8" customFormat="false" ht="15" hidden="false" customHeight="false" outlineLevel="0" collapsed="false">
      <c r="A8" s="3" t="s">
        <v>456</v>
      </c>
      <c r="C8" s="3" t="n">
        <f aca="false">SUM(C2:C7)</f>
        <v>150</v>
      </c>
    </row>
    <row r="9" customFormat="false" ht="15" hidden="false" customHeight="false" outlineLevel="0" collapsed="false">
      <c r="A9" s="2" t="s">
        <v>457</v>
      </c>
    </row>
    <row r="12" customFormat="false" ht="15" hidden="false" customHeight="false" outlineLevel="0" collapsed="false">
      <c r="A12" s="11" t="s">
        <v>24</v>
      </c>
      <c r="B12" s="11" t="s">
        <v>458</v>
      </c>
      <c r="C12" s="11" t="s">
        <v>2</v>
      </c>
      <c r="D12" s="11" t="s">
        <v>459</v>
      </c>
      <c r="E12" s="11" t="s">
        <v>460</v>
      </c>
    </row>
    <row r="13" customFormat="false" ht="23.85" hidden="false" customHeight="false" outlineLevel="0" collapsed="false">
      <c r="A13" s="10" t="s">
        <v>55</v>
      </c>
      <c r="B13" s="10" t="s">
        <v>461</v>
      </c>
      <c r="C13" s="10" t="s">
        <v>445</v>
      </c>
      <c r="D13" s="10" t="s">
        <v>462</v>
      </c>
      <c r="E13" s="10" t="s">
        <v>463</v>
      </c>
    </row>
    <row r="14" customFormat="false" ht="23.85" hidden="false" customHeight="false" outlineLevel="0" collapsed="false">
      <c r="A14" s="10" t="s">
        <v>55</v>
      </c>
      <c r="B14" s="10" t="s">
        <v>464</v>
      </c>
      <c r="C14" s="10" t="s">
        <v>445</v>
      </c>
      <c r="D14" s="10" t="s">
        <v>465</v>
      </c>
      <c r="E14" s="10" t="s">
        <v>466</v>
      </c>
    </row>
    <row r="15" customFormat="false" ht="23.85" hidden="false" customHeight="false" outlineLevel="0" collapsed="false">
      <c r="A15" s="10" t="s">
        <v>55</v>
      </c>
      <c r="B15" s="10" t="s">
        <v>467</v>
      </c>
      <c r="C15" s="10" t="s">
        <v>445</v>
      </c>
      <c r="D15" s="10" t="s">
        <v>468</v>
      </c>
      <c r="E15" s="10" t="s">
        <v>469</v>
      </c>
    </row>
    <row r="16" customFormat="false" ht="23.85" hidden="false" customHeight="false" outlineLevel="0" collapsed="false">
      <c r="A16" s="10" t="s">
        <v>55</v>
      </c>
      <c r="B16" s="10" t="s">
        <v>470</v>
      </c>
      <c r="C16" s="10" t="s">
        <v>445</v>
      </c>
      <c r="D16" s="10" t="s">
        <v>471</v>
      </c>
      <c r="E16" s="10" t="s">
        <v>463</v>
      </c>
    </row>
    <row r="17" customFormat="false" ht="15" hidden="false" customHeight="false" outlineLevel="0" collapsed="false">
      <c r="A17" s="10" t="s">
        <v>55</v>
      </c>
      <c r="B17" s="10" t="s">
        <v>472</v>
      </c>
      <c r="C17" s="10" t="s">
        <v>449</v>
      </c>
      <c r="D17" s="10" t="s">
        <v>473</v>
      </c>
      <c r="E17" s="10" t="s">
        <v>474</v>
      </c>
    </row>
    <row r="18" customFormat="false" ht="23.85" hidden="false" customHeight="false" outlineLevel="0" collapsed="false">
      <c r="A18" s="10" t="s">
        <v>55</v>
      </c>
      <c r="B18" s="10" t="s">
        <v>475</v>
      </c>
      <c r="C18" s="10" t="s">
        <v>455</v>
      </c>
      <c r="D18" s="10" t="s">
        <v>476</v>
      </c>
      <c r="E18" s="10" t="s">
        <v>477</v>
      </c>
    </row>
    <row r="19" customFormat="false" ht="23.85" hidden="false" customHeight="false" outlineLevel="0" collapsed="false">
      <c r="A19" s="10" t="s">
        <v>55</v>
      </c>
      <c r="B19" s="10" t="s">
        <v>478</v>
      </c>
      <c r="C19" s="10" t="s">
        <v>455</v>
      </c>
      <c r="D19" s="10" t="s">
        <v>479</v>
      </c>
      <c r="E19" s="10" t="s">
        <v>469</v>
      </c>
    </row>
    <row r="20" customFormat="false" ht="35.05" hidden="false" customHeight="false" outlineLevel="0" collapsed="false">
      <c r="A20" s="10" t="s">
        <v>76</v>
      </c>
      <c r="B20" s="10" t="s">
        <v>480</v>
      </c>
      <c r="C20" s="10" t="s">
        <v>447</v>
      </c>
      <c r="D20" s="10" t="s">
        <v>481</v>
      </c>
      <c r="E20" s="10" t="s">
        <v>482</v>
      </c>
    </row>
    <row r="21" customFormat="false" ht="23.85" hidden="false" customHeight="false" outlineLevel="0" collapsed="false">
      <c r="A21" s="10" t="s">
        <v>76</v>
      </c>
      <c r="B21" s="10" t="s">
        <v>483</v>
      </c>
      <c r="C21" s="10" t="s">
        <v>451</v>
      </c>
      <c r="D21" s="10" t="s">
        <v>484</v>
      </c>
      <c r="E21" s="10" t="s">
        <v>86</v>
      </c>
    </row>
    <row r="22" customFormat="false" ht="23.85" hidden="false" customHeight="false" outlineLevel="0" collapsed="false">
      <c r="A22" s="10" t="s">
        <v>76</v>
      </c>
      <c r="B22" s="10" t="s">
        <v>485</v>
      </c>
      <c r="C22" s="10" t="s">
        <v>445</v>
      </c>
      <c r="D22" s="10" t="s">
        <v>486</v>
      </c>
      <c r="E22" s="10" t="s">
        <v>86</v>
      </c>
    </row>
    <row r="23" customFormat="false" ht="23.85" hidden="false" customHeight="false" outlineLevel="0" collapsed="false">
      <c r="A23" s="10" t="s">
        <v>76</v>
      </c>
      <c r="B23" s="10" t="s">
        <v>487</v>
      </c>
      <c r="C23" s="10" t="s">
        <v>445</v>
      </c>
      <c r="D23" s="10" t="s">
        <v>488</v>
      </c>
      <c r="E23" s="10" t="s">
        <v>489</v>
      </c>
    </row>
    <row r="24" customFormat="false" ht="15" hidden="false" customHeight="false" outlineLevel="0" collapsed="false">
      <c r="A24" s="10" t="s">
        <v>76</v>
      </c>
      <c r="B24" s="10" t="s">
        <v>490</v>
      </c>
      <c r="C24" s="10" t="s">
        <v>445</v>
      </c>
      <c r="D24" s="10" t="s">
        <v>491</v>
      </c>
      <c r="E24" s="10" t="s">
        <v>86</v>
      </c>
    </row>
    <row r="25" customFormat="false" ht="35.05" hidden="false" customHeight="false" outlineLevel="0" collapsed="false">
      <c r="A25" s="10" t="s">
        <v>76</v>
      </c>
      <c r="B25" s="10" t="s">
        <v>492</v>
      </c>
      <c r="C25" s="10" t="s">
        <v>445</v>
      </c>
      <c r="D25" s="10" t="s">
        <v>493</v>
      </c>
      <c r="E25" s="10" t="s">
        <v>494</v>
      </c>
    </row>
    <row r="26" customFormat="false" ht="15" hidden="false" customHeight="false" outlineLevel="0" collapsed="false">
      <c r="A26" s="10" t="s">
        <v>76</v>
      </c>
      <c r="B26" s="10" t="s">
        <v>495</v>
      </c>
      <c r="C26" s="10" t="s">
        <v>449</v>
      </c>
      <c r="D26" s="10" t="s">
        <v>496</v>
      </c>
      <c r="E26" s="10" t="s">
        <v>489</v>
      </c>
    </row>
    <row r="27" customFormat="false" ht="23.85" hidden="false" customHeight="false" outlineLevel="0" collapsed="false">
      <c r="A27" s="10" t="s">
        <v>76</v>
      </c>
      <c r="B27" s="10" t="s">
        <v>497</v>
      </c>
      <c r="C27" s="10" t="s">
        <v>455</v>
      </c>
      <c r="D27" s="10" t="s">
        <v>498</v>
      </c>
      <c r="E27" s="10" t="s">
        <v>489</v>
      </c>
    </row>
    <row r="28" customFormat="false" ht="15" hidden="false" customHeight="false" outlineLevel="0" collapsed="false">
      <c r="A28" s="10" t="s">
        <v>76</v>
      </c>
      <c r="B28" s="10" t="s">
        <v>499</v>
      </c>
      <c r="C28" s="10" t="s">
        <v>445</v>
      </c>
      <c r="D28" s="10" t="s">
        <v>500</v>
      </c>
      <c r="E28" s="10" t="s">
        <v>501</v>
      </c>
    </row>
    <row r="29" customFormat="false" ht="23.85" hidden="false" customHeight="false" outlineLevel="0" collapsed="false">
      <c r="A29" s="10" t="s">
        <v>76</v>
      </c>
      <c r="B29" s="10" t="s">
        <v>502</v>
      </c>
      <c r="C29" s="10" t="s">
        <v>455</v>
      </c>
      <c r="D29" s="10" t="s">
        <v>503</v>
      </c>
      <c r="E29" s="10" t="s">
        <v>504</v>
      </c>
    </row>
    <row r="30" customFormat="false" ht="23.85" hidden="false" customHeight="false" outlineLevel="0" collapsed="false">
      <c r="A30" s="10" t="s">
        <v>94</v>
      </c>
      <c r="B30" s="10" t="s">
        <v>487</v>
      </c>
      <c r="C30" s="10" t="s">
        <v>455</v>
      </c>
      <c r="D30" s="10" t="s">
        <v>505</v>
      </c>
      <c r="E30" s="10" t="s">
        <v>506</v>
      </c>
    </row>
    <row r="31" customFormat="false" ht="23.85" hidden="false" customHeight="false" outlineLevel="0" collapsed="false">
      <c r="A31" s="10" t="s">
        <v>94</v>
      </c>
      <c r="B31" s="10" t="s">
        <v>507</v>
      </c>
      <c r="C31" s="10" t="s">
        <v>445</v>
      </c>
      <c r="D31" s="10" t="s">
        <v>508</v>
      </c>
      <c r="E31" s="10" t="s">
        <v>509</v>
      </c>
    </row>
    <row r="32" customFormat="false" ht="23.85" hidden="false" customHeight="false" outlineLevel="0" collapsed="false">
      <c r="A32" s="10" t="s">
        <v>94</v>
      </c>
      <c r="B32" s="10" t="s">
        <v>510</v>
      </c>
      <c r="C32" s="10" t="s">
        <v>445</v>
      </c>
      <c r="D32" s="10" t="s">
        <v>511</v>
      </c>
      <c r="E32" s="10" t="s">
        <v>512</v>
      </c>
    </row>
    <row r="33" customFormat="false" ht="23.85" hidden="false" customHeight="false" outlineLevel="0" collapsed="false">
      <c r="A33" s="10" t="s">
        <v>94</v>
      </c>
      <c r="B33" s="10" t="s">
        <v>513</v>
      </c>
      <c r="C33" s="10" t="s">
        <v>445</v>
      </c>
      <c r="D33" s="10" t="s">
        <v>514</v>
      </c>
      <c r="E33" s="10" t="s">
        <v>515</v>
      </c>
    </row>
    <row r="34" customFormat="false" ht="35.05" hidden="false" customHeight="false" outlineLevel="0" collapsed="false">
      <c r="A34" s="10" t="s">
        <v>94</v>
      </c>
      <c r="B34" s="10" t="s">
        <v>516</v>
      </c>
      <c r="C34" s="10" t="s">
        <v>449</v>
      </c>
      <c r="D34" s="10" t="s">
        <v>517</v>
      </c>
      <c r="E34" s="10" t="s">
        <v>518</v>
      </c>
    </row>
    <row r="35" customFormat="false" ht="23.85" hidden="false" customHeight="false" outlineLevel="0" collapsed="false">
      <c r="A35" s="10" t="s">
        <v>94</v>
      </c>
      <c r="B35" s="10" t="s">
        <v>519</v>
      </c>
      <c r="C35" s="10" t="s">
        <v>445</v>
      </c>
      <c r="D35" s="10" t="s">
        <v>520</v>
      </c>
      <c r="E35" s="10" t="s">
        <v>108</v>
      </c>
    </row>
    <row r="36" customFormat="false" ht="23.85" hidden="false" customHeight="false" outlineLevel="0" collapsed="false">
      <c r="A36" s="10" t="s">
        <v>94</v>
      </c>
      <c r="B36" s="10" t="s">
        <v>521</v>
      </c>
      <c r="C36" s="10" t="s">
        <v>455</v>
      </c>
      <c r="D36" s="10" t="s">
        <v>522</v>
      </c>
      <c r="E36" s="10" t="s">
        <v>523</v>
      </c>
    </row>
    <row r="37" customFormat="false" ht="23.85" hidden="false" customHeight="false" outlineLevel="0" collapsed="false">
      <c r="A37" s="10" t="s">
        <v>94</v>
      </c>
      <c r="B37" s="10" t="s">
        <v>524</v>
      </c>
      <c r="C37" s="10" t="s">
        <v>447</v>
      </c>
      <c r="D37" s="10" t="s">
        <v>525</v>
      </c>
      <c r="E37" s="10" t="s">
        <v>108</v>
      </c>
    </row>
    <row r="38" customFormat="false" ht="23.85" hidden="false" customHeight="false" outlineLevel="0" collapsed="false">
      <c r="A38" s="10" t="s">
        <v>94</v>
      </c>
      <c r="B38" s="10" t="s">
        <v>526</v>
      </c>
      <c r="C38" s="10" t="s">
        <v>449</v>
      </c>
      <c r="D38" s="10" t="s">
        <v>527</v>
      </c>
      <c r="E38" s="10" t="s">
        <v>528</v>
      </c>
    </row>
    <row r="39" customFormat="false" ht="23.85" hidden="false" customHeight="false" outlineLevel="0" collapsed="false">
      <c r="A39" s="10" t="s">
        <v>94</v>
      </c>
      <c r="B39" s="10" t="s">
        <v>529</v>
      </c>
      <c r="C39" s="10" t="s">
        <v>455</v>
      </c>
      <c r="D39" s="10" t="s">
        <v>530</v>
      </c>
      <c r="E39" s="10" t="s">
        <v>531</v>
      </c>
    </row>
    <row r="40" customFormat="false" ht="23.85" hidden="false" customHeight="false" outlineLevel="0" collapsed="false">
      <c r="A40" s="10" t="s">
        <v>110</v>
      </c>
      <c r="B40" s="10" t="s">
        <v>532</v>
      </c>
      <c r="C40" s="10" t="s">
        <v>445</v>
      </c>
      <c r="D40" s="10" t="s">
        <v>533</v>
      </c>
      <c r="E40" s="10" t="s">
        <v>534</v>
      </c>
    </row>
    <row r="41" customFormat="false" ht="23.85" hidden="false" customHeight="false" outlineLevel="0" collapsed="false">
      <c r="A41" s="10" t="s">
        <v>110</v>
      </c>
      <c r="B41" s="10" t="s">
        <v>535</v>
      </c>
      <c r="C41" s="10" t="s">
        <v>445</v>
      </c>
      <c r="D41" s="10" t="s">
        <v>536</v>
      </c>
      <c r="E41" s="10" t="s">
        <v>537</v>
      </c>
    </row>
    <row r="42" customFormat="false" ht="23.85" hidden="false" customHeight="false" outlineLevel="0" collapsed="false">
      <c r="A42" s="10" t="s">
        <v>110</v>
      </c>
      <c r="B42" s="10" t="s">
        <v>538</v>
      </c>
      <c r="C42" s="10" t="s">
        <v>445</v>
      </c>
      <c r="D42" s="10" t="s">
        <v>539</v>
      </c>
      <c r="E42" s="10" t="s">
        <v>540</v>
      </c>
    </row>
    <row r="43" customFormat="false" ht="23.85" hidden="false" customHeight="false" outlineLevel="0" collapsed="false">
      <c r="A43" s="10" t="s">
        <v>110</v>
      </c>
      <c r="B43" s="10" t="s">
        <v>541</v>
      </c>
      <c r="C43" s="10" t="s">
        <v>455</v>
      </c>
      <c r="D43" s="10" t="s">
        <v>542</v>
      </c>
      <c r="E43" s="10" t="s">
        <v>543</v>
      </c>
    </row>
    <row r="44" customFormat="false" ht="23.85" hidden="false" customHeight="false" outlineLevel="0" collapsed="false">
      <c r="A44" s="10" t="s">
        <v>110</v>
      </c>
      <c r="B44" s="10" t="s">
        <v>544</v>
      </c>
      <c r="C44" s="10" t="s">
        <v>449</v>
      </c>
      <c r="D44" s="10" t="s">
        <v>545</v>
      </c>
      <c r="E44" s="10" t="s">
        <v>546</v>
      </c>
    </row>
    <row r="45" customFormat="false" ht="23.85" hidden="false" customHeight="false" outlineLevel="0" collapsed="false">
      <c r="A45" s="10" t="s">
        <v>110</v>
      </c>
      <c r="B45" s="10" t="s">
        <v>547</v>
      </c>
      <c r="C45" s="10" t="s">
        <v>455</v>
      </c>
      <c r="D45" s="10" t="s">
        <v>548</v>
      </c>
      <c r="E45" s="10" t="s">
        <v>540</v>
      </c>
    </row>
    <row r="46" customFormat="false" ht="23.85" hidden="false" customHeight="false" outlineLevel="0" collapsed="false">
      <c r="A46" s="10" t="s">
        <v>110</v>
      </c>
      <c r="B46" s="10" t="s">
        <v>549</v>
      </c>
      <c r="C46" s="10" t="s">
        <v>445</v>
      </c>
      <c r="D46" s="10" t="s">
        <v>550</v>
      </c>
      <c r="E46" s="10" t="s">
        <v>551</v>
      </c>
    </row>
    <row r="47" customFormat="false" ht="23.85" hidden="false" customHeight="false" outlineLevel="0" collapsed="false">
      <c r="A47" s="10" t="s">
        <v>110</v>
      </c>
      <c r="B47" s="10" t="s">
        <v>552</v>
      </c>
      <c r="C47" s="10" t="s">
        <v>445</v>
      </c>
      <c r="D47" s="10" t="s">
        <v>553</v>
      </c>
      <c r="E47" s="10" t="s">
        <v>124</v>
      </c>
    </row>
    <row r="48" customFormat="false" ht="23.85" hidden="false" customHeight="false" outlineLevel="0" collapsed="false">
      <c r="A48" s="10" t="s">
        <v>110</v>
      </c>
      <c r="B48" s="10" t="s">
        <v>554</v>
      </c>
      <c r="C48" s="10" t="s">
        <v>451</v>
      </c>
      <c r="D48" s="10" t="s">
        <v>555</v>
      </c>
      <c r="E48" s="10" t="s">
        <v>556</v>
      </c>
    </row>
    <row r="49" customFormat="false" ht="23.85" hidden="false" customHeight="false" outlineLevel="0" collapsed="false">
      <c r="A49" s="10" t="s">
        <v>110</v>
      </c>
      <c r="B49" s="10" t="s">
        <v>557</v>
      </c>
      <c r="C49" s="10" t="s">
        <v>449</v>
      </c>
      <c r="D49" s="10" t="s">
        <v>558</v>
      </c>
      <c r="E49" s="10" t="s">
        <v>534</v>
      </c>
    </row>
    <row r="50" customFormat="false" ht="23.85" hidden="false" customHeight="false" outlineLevel="0" collapsed="false">
      <c r="A50" s="10" t="s">
        <v>110</v>
      </c>
      <c r="B50" s="10" t="s">
        <v>559</v>
      </c>
      <c r="C50" s="10" t="s">
        <v>453</v>
      </c>
      <c r="D50" s="10" t="s">
        <v>560</v>
      </c>
      <c r="E50" s="10" t="s">
        <v>561</v>
      </c>
    </row>
    <row r="51" customFormat="false" ht="15" hidden="false" customHeight="false" outlineLevel="0" collapsed="false">
      <c r="A51" s="10" t="s">
        <v>127</v>
      </c>
      <c r="B51" s="10" t="s">
        <v>562</v>
      </c>
      <c r="C51" s="10" t="s">
        <v>445</v>
      </c>
      <c r="D51" s="10" t="s">
        <v>563</v>
      </c>
      <c r="E51" s="10" t="s">
        <v>141</v>
      </c>
    </row>
    <row r="52" customFormat="false" ht="15" hidden="false" customHeight="false" outlineLevel="0" collapsed="false">
      <c r="A52" s="10" t="s">
        <v>127</v>
      </c>
      <c r="B52" s="10" t="s">
        <v>564</v>
      </c>
      <c r="C52" s="10" t="s">
        <v>445</v>
      </c>
      <c r="D52" s="10" t="s">
        <v>565</v>
      </c>
      <c r="E52" s="10" t="s">
        <v>141</v>
      </c>
    </row>
    <row r="53" customFormat="false" ht="15" hidden="false" customHeight="false" outlineLevel="0" collapsed="false">
      <c r="A53" s="10" t="s">
        <v>127</v>
      </c>
      <c r="B53" s="10" t="s">
        <v>566</v>
      </c>
      <c r="C53" s="10" t="s">
        <v>455</v>
      </c>
      <c r="D53" s="10" t="s">
        <v>567</v>
      </c>
      <c r="E53" s="10" t="s">
        <v>141</v>
      </c>
    </row>
    <row r="54" customFormat="false" ht="15" hidden="false" customHeight="false" outlineLevel="0" collapsed="false">
      <c r="A54" s="10" t="s">
        <v>127</v>
      </c>
      <c r="B54" s="10" t="s">
        <v>490</v>
      </c>
      <c r="C54" s="10" t="s">
        <v>445</v>
      </c>
      <c r="D54" s="10" t="s">
        <v>568</v>
      </c>
      <c r="E54" s="10" t="s">
        <v>569</v>
      </c>
    </row>
    <row r="55" customFormat="false" ht="23.85" hidden="false" customHeight="false" outlineLevel="0" collapsed="false">
      <c r="A55" s="10" t="s">
        <v>127</v>
      </c>
      <c r="B55" s="10" t="s">
        <v>570</v>
      </c>
      <c r="C55" s="10" t="s">
        <v>445</v>
      </c>
      <c r="D55" s="10" t="s">
        <v>571</v>
      </c>
      <c r="E55" s="10" t="s">
        <v>572</v>
      </c>
    </row>
    <row r="56" customFormat="false" ht="15" hidden="false" customHeight="false" outlineLevel="0" collapsed="false">
      <c r="A56" s="10" t="s">
        <v>127</v>
      </c>
      <c r="B56" s="10" t="s">
        <v>573</v>
      </c>
      <c r="C56" s="10" t="s">
        <v>455</v>
      </c>
      <c r="D56" s="10" t="s">
        <v>574</v>
      </c>
      <c r="E56" s="10" t="s">
        <v>141</v>
      </c>
    </row>
    <row r="57" customFormat="false" ht="23.85" hidden="false" customHeight="false" outlineLevel="0" collapsed="false">
      <c r="A57" s="10" t="s">
        <v>127</v>
      </c>
      <c r="B57" s="10" t="s">
        <v>575</v>
      </c>
      <c r="C57" s="10" t="s">
        <v>449</v>
      </c>
      <c r="D57" s="10" t="s">
        <v>576</v>
      </c>
      <c r="E57" s="10" t="s">
        <v>577</v>
      </c>
    </row>
    <row r="58" customFormat="false" ht="23.85" hidden="false" customHeight="false" outlineLevel="0" collapsed="false">
      <c r="A58" s="10" t="s">
        <v>127</v>
      </c>
      <c r="B58" s="10" t="s">
        <v>578</v>
      </c>
      <c r="C58" s="10" t="s">
        <v>455</v>
      </c>
      <c r="D58" s="10" t="s">
        <v>579</v>
      </c>
      <c r="E58" s="10" t="s">
        <v>141</v>
      </c>
    </row>
    <row r="59" customFormat="false" ht="15" hidden="false" customHeight="false" outlineLevel="0" collapsed="false">
      <c r="A59" s="10" t="s">
        <v>127</v>
      </c>
      <c r="B59" s="10" t="s">
        <v>580</v>
      </c>
      <c r="C59" s="10" t="s">
        <v>455</v>
      </c>
      <c r="D59" s="10" t="s">
        <v>581</v>
      </c>
      <c r="E59" s="10" t="s">
        <v>582</v>
      </c>
    </row>
    <row r="60" customFormat="false" ht="23.85" hidden="false" customHeight="false" outlineLevel="0" collapsed="false">
      <c r="A60" s="10" t="s">
        <v>143</v>
      </c>
      <c r="B60" s="10" t="s">
        <v>583</v>
      </c>
      <c r="C60" s="10" t="s">
        <v>455</v>
      </c>
      <c r="D60" s="10" t="s">
        <v>584</v>
      </c>
      <c r="E60" s="10" t="s">
        <v>585</v>
      </c>
    </row>
    <row r="61" customFormat="false" ht="23.85" hidden="false" customHeight="false" outlineLevel="0" collapsed="false">
      <c r="A61" s="10" t="s">
        <v>143</v>
      </c>
      <c r="B61" s="10" t="s">
        <v>586</v>
      </c>
      <c r="C61" s="10" t="s">
        <v>455</v>
      </c>
      <c r="D61" s="10" t="s">
        <v>587</v>
      </c>
      <c r="E61" s="10" t="s">
        <v>588</v>
      </c>
    </row>
    <row r="62" customFormat="false" ht="15" hidden="false" customHeight="false" outlineLevel="0" collapsed="false">
      <c r="A62" s="10" t="s">
        <v>143</v>
      </c>
      <c r="B62" s="10" t="s">
        <v>490</v>
      </c>
      <c r="C62" s="10" t="s">
        <v>445</v>
      </c>
      <c r="D62" s="10" t="s">
        <v>589</v>
      </c>
      <c r="E62" s="10" t="s">
        <v>151</v>
      </c>
    </row>
    <row r="63" customFormat="false" ht="35.05" hidden="false" customHeight="false" outlineLevel="0" collapsed="false">
      <c r="A63" s="10" t="s">
        <v>143</v>
      </c>
      <c r="B63" s="10" t="s">
        <v>590</v>
      </c>
      <c r="C63" s="10" t="s">
        <v>447</v>
      </c>
      <c r="D63" s="10" t="s">
        <v>591</v>
      </c>
      <c r="E63" s="10" t="s">
        <v>592</v>
      </c>
    </row>
    <row r="64" customFormat="false" ht="15" hidden="false" customHeight="false" outlineLevel="0" collapsed="false">
      <c r="A64" s="10" t="s">
        <v>143</v>
      </c>
      <c r="B64" s="10" t="s">
        <v>593</v>
      </c>
      <c r="C64" s="10" t="s">
        <v>449</v>
      </c>
      <c r="D64" s="10" t="s">
        <v>594</v>
      </c>
      <c r="E64" s="10" t="s">
        <v>157</v>
      </c>
    </row>
    <row r="65" customFormat="false" ht="15" hidden="false" customHeight="false" outlineLevel="0" collapsed="false">
      <c r="A65" s="10" t="s">
        <v>143</v>
      </c>
      <c r="B65" s="10" t="s">
        <v>595</v>
      </c>
      <c r="C65" s="10" t="s">
        <v>455</v>
      </c>
      <c r="D65" s="10" t="s">
        <v>596</v>
      </c>
      <c r="E65" s="10" t="s">
        <v>597</v>
      </c>
    </row>
    <row r="66" customFormat="false" ht="23.85" hidden="false" customHeight="false" outlineLevel="0" collapsed="false">
      <c r="A66" s="10" t="s">
        <v>143</v>
      </c>
      <c r="B66" s="10" t="s">
        <v>598</v>
      </c>
      <c r="C66" s="10" t="s">
        <v>451</v>
      </c>
      <c r="D66" s="10" t="s">
        <v>599</v>
      </c>
      <c r="E66" s="10" t="s">
        <v>600</v>
      </c>
    </row>
    <row r="67" customFormat="false" ht="15" hidden="false" customHeight="false" outlineLevel="0" collapsed="false">
      <c r="A67" s="10" t="s">
        <v>159</v>
      </c>
      <c r="B67" s="10" t="s">
        <v>601</v>
      </c>
      <c r="C67" s="10" t="s">
        <v>445</v>
      </c>
      <c r="D67" s="10" t="s">
        <v>602</v>
      </c>
      <c r="E67" s="10" t="s">
        <v>603</v>
      </c>
    </row>
    <row r="68" customFormat="false" ht="15" hidden="false" customHeight="false" outlineLevel="0" collapsed="false">
      <c r="A68" s="10" t="s">
        <v>159</v>
      </c>
      <c r="B68" s="10" t="s">
        <v>604</v>
      </c>
      <c r="C68" s="10" t="s">
        <v>447</v>
      </c>
      <c r="D68" s="10" t="s">
        <v>605</v>
      </c>
      <c r="E68" s="10" t="s">
        <v>606</v>
      </c>
    </row>
    <row r="69" customFormat="false" ht="35.05" hidden="false" customHeight="false" outlineLevel="0" collapsed="false">
      <c r="A69" s="10" t="s">
        <v>159</v>
      </c>
      <c r="B69" s="10" t="s">
        <v>607</v>
      </c>
      <c r="C69" s="10" t="s">
        <v>445</v>
      </c>
      <c r="D69" s="10" t="s">
        <v>608</v>
      </c>
      <c r="E69" s="10" t="s">
        <v>609</v>
      </c>
    </row>
    <row r="70" customFormat="false" ht="23.85" hidden="false" customHeight="false" outlineLevel="0" collapsed="false">
      <c r="A70" s="10" t="s">
        <v>159</v>
      </c>
      <c r="B70" s="10" t="s">
        <v>499</v>
      </c>
      <c r="C70" s="10" t="s">
        <v>455</v>
      </c>
      <c r="D70" s="10" t="s">
        <v>610</v>
      </c>
      <c r="E70" s="10" t="s">
        <v>611</v>
      </c>
    </row>
    <row r="71" customFormat="false" ht="15" hidden="false" customHeight="false" outlineLevel="0" collapsed="false">
      <c r="A71" s="10" t="s">
        <v>159</v>
      </c>
      <c r="B71" s="10" t="s">
        <v>612</v>
      </c>
      <c r="C71" s="10" t="s">
        <v>449</v>
      </c>
      <c r="D71" s="10" t="s">
        <v>613</v>
      </c>
      <c r="E71" s="10" t="s">
        <v>614</v>
      </c>
    </row>
    <row r="72" customFormat="false" ht="23.85" hidden="false" customHeight="false" outlineLevel="0" collapsed="false">
      <c r="A72" s="10" t="s">
        <v>159</v>
      </c>
      <c r="B72" s="10" t="s">
        <v>615</v>
      </c>
      <c r="C72" s="10" t="s">
        <v>445</v>
      </c>
      <c r="D72" s="10" t="s">
        <v>616</v>
      </c>
      <c r="E72" s="10" t="s">
        <v>617</v>
      </c>
    </row>
    <row r="73" customFormat="false" ht="23.85" hidden="false" customHeight="false" outlineLevel="0" collapsed="false">
      <c r="A73" s="10" t="s">
        <v>174</v>
      </c>
      <c r="B73" s="10" t="s">
        <v>618</v>
      </c>
      <c r="C73" s="10" t="s">
        <v>455</v>
      </c>
      <c r="D73" s="10" t="s">
        <v>619</v>
      </c>
      <c r="E73" s="10" t="s">
        <v>620</v>
      </c>
    </row>
    <row r="74" customFormat="false" ht="23.85" hidden="false" customHeight="false" outlineLevel="0" collapsed="false">
      <c r="A74" s="10" t="s">
        <v>174</v>
      </c>
      <c r="B74" s="10" t="s">
        <v>621</v>
      </c>
      <c r="C74" s="10" t="s">
        <v>445</v>
      </c>
      <c r="D74" s="10" t="s">
        <v>622</v>
      </c>
      <c r="E74" s="10" t="s">
        <v>623</v>
      </c>
    </row>
    <row r="75" customFormat="false" ht="23.85" hidden="false" customHeight="false" outlineLevel="0" collapsed="false">
      <c r="A75" s="10" t="s">
        <v>174</v>
      </c>
      <c r="B75" s="10" t="s">
        <v>624</v>
      </c>
      <c r="C75" s="10" t="s">
        <v>445</v>
      </c>
      <c r="D75" s="10" t="s">
        <v>625</v>
      </c>
      <c r="E75" s="10" t="s">
        <v>626</v>
      </c>
    </row>
    <row r="76" customFormat="false" ht="23.85" hidden="false" customHeight="false" outlineLevel="0" collapsed="false">
      <c r="A76" s="10" t="s">
        <v>174</v>
      </c>
      <c r="B76" s="10" t="s">
        <v>627</v>
      </c>
      <c r="C76" s="10" t="s">
        <v>445</v>
      </c>
      <c r="D76" s="10"/>
      <c r="E76" s="10" t="s">
        <v>628</v>
      </c>
    </row>
    <row r="77" customFormat="false" ht="23.85" hidden="false" customHeight="false" outlineLevel="0" collapsed="false">
      <c r="A77" s="10" t="s">
        <v>174</v>
      </c>
      <c r="B77" s="10" t="s">
        <v>629</v>
      </c>
      <c r="C77" s="10" t="s">
        <v>445</v>
      </c>
      <c r="D77" s="10" t="s">
        <v>630</v>
      </c>
      <c r="E77" s="10" t="s">
        <v>189</v>
      </c>
    </row>
    <row r="78" customFormat="false" ht="23.85" hidden="false" customHeight="false" outlineLevel="0" collapsed="false">
      <c r="A78" s="10" t="s">
        <v>174</v>
      </c>
      <c r="B78" s="10" t="s">
        <v>631</v>
      </c>
      <c r="C78" s="10" t="s">
        <v>455</v>
      </c>
      <c r="D78" s="10" t="s">
        <v>632</v>
      </c>
      <c r="E78" s="10" t="s">
        <v>633</v>
      </c>
    </row>
    <row r="79" customFormat="false" ht="23.85" hidden="false" customHeight="false" outlineLevel="0" collapsed="false">
      <c r="A79" s="10" t="s">
        <v>174</v>
      </c>
      <c r="B79" s="10" t="s">
        <v>634</v>
      </c>
      <c r="C79" s="10" t="s">
        <v>445</v>
      </c>
      <c r="D79" s="10" t="s">
        <v>635</v>
      </c>
      <c r="E79" s="10" t="s">
        <v>636</v>
      </c>
    </row>
    <row r="80" customFormat="false" ht="23.85" hidden="false" customHeight="false" outlineLevel="0" collapsed="false">
      <c r="A80" s="10" t="s">
        <v>174</v>
      </c>
      <c r="B80" s="10" t="s">
        <v>637</v>
      </c>
      <c r="C80" s="10" t="s">
        <v>455</v>
      </c>
      <c r="D80" s="10" t="s">
        <v>638</v>
      </c>
      <c r="E80" s="10" t="s">
        <v>639</v>
      </c>
    </row>
    <row r="81" customFormat="false" ht="15" hidden="false" customHeight="false" outlineLevel="0" collapsed="false">
      <c r="A81" s="10" t="s">
        <v>191</v>
      </c>
      <c r="B81" s="10" t="s">
        <v>640</v>
      </c>
      <c r="C81" s="10" t="s">
        <v>445</v>
      </c>
      <c r="D81" s="10" t="s">
        <v>641</v>
      </c>
      <c r="E81" s="10" t="s">
        <v>642</v>
      </c>
    </row>
    <row r="82" customFormat="false" ht="15" hidden="false" customHeight="false" outlineLevel="0" collapsed="false">
      <c r="A82" s="10" t="s">
        <v>191</v>
      </c>
      <c r="B82" s="10" t="s">
        <v>643</v>
      </c>
      <c r="C82" s="10" t="s">
        <v>455</v>
      </c>
      <c r="D82" s="10" t="s">
        <v>644</v>
      </c>
      <c r="E82" s="10" t="s">
        <v>645</v>
      </c>
    </row>
    <row r="83" customFormat="false" ht="15" hidden="false" customHeight="false" outlineLevel="0" collapsed="false">
      <c r="A83" s="10" t="s">
        <v>191</v>
      </c>
      <c r="B83" s="10" t="s">
        <v>646</v>
      </c>
      <c r="C83" s="10" t="s">
        <v>445</v>
      </c>
      <c r="D83" s="10" t="s">
        <v>647</v>
      </c>
      <c r="E83" s="10" t="s">
        <v>648</v>
      </c>
    </row>
    <row r="84" customFormat="false" ht="15" hidden="false" customHeight="false" outlineLevel="0" collapsed="false">
      <c r="A84" s="10" t="s">
        <v>191</v>
      </c>
      <c r="B84" s="10" t="s">
        <v>649</v>
      </c>
      <c r="C84" s="10" t="s">
        <v>445</v>
      </c>
      <c r="D84" s="10" t="s">
        <v>650</v>
      </c>
      <c r="E84" s="10" t="s">
        <v>651</v>
      </c>
    </row>
    <row r="85" customFormat="false" ht="15" hidden="false" customHeight="false" outlineLevel="0" collapsed="false">
      <c r="A85" s="10" t="s">
        <v>191</v>
      </c>
      <c r="B85" s="10" t="s">
        <v>652</v>
      </c>
      <c r="C85" s="10" t="s">
        <v>449</v>
      </c>
      <c r="D85" s="10" t="s">
        <v>653</v>
      </c>
      <c r="E85" s="10" t="s">
        <v>204</v>
      </c>
    </row>
    <row r="86" customFormat="false" ht="15" hidden="false" customHeight="false" outlineLevel="0" collapsed="false">
      <c r="A86" s="10" t="s">
        <v>191</v>
      </c>
      <c r="B86" s="10" t="s">
        <v>654</v>
      </c>
      <c r="C86" s="10" t="s">
        <v>455</v>
      </c>
      <c r="D86" s="10" t="s">
        <v>655</v>
      </c>
      <c r="E86" s="10" t="s">
        <v>642</v>
      </c>
    </row>
    <row r="87" customFormat="false" ht="15" hidden="false" customHeight="false" outlineLevel="0" collapsed="false">
      <c r="A87" s="10" t="s">
        <v>191</v>
      </c>
      <c r="B87" s="10" t="s">
        <v>656</v>
      </c>
      <c r="C87" s="10" t="s">
        <v>455</v>
      </c>
      <c r="D87" s="10" t="s">
        <v>657</v>
      </c>
      <c r="E87" s="10" t="s">
        <v>648</v>
      </c>
    </row>
    <row r="88" customFormat="false" ht="23.85" hidden="false" customHeight="false" outlineLevel="0" collapsed="false">
      <c r="A88" s="10" t="s">
        <v>191</v>
      </c>
      <c r="B88" s="10" t="s">
        <v>658</v>
      </c>
      <c r="C88" s="10" t="s">
        <v>453</v>
      </c>
      <c r="D88" s="10" t="s">
        <v>659</v>
      </c>
      <c r="E88" s="10" t="s">
        <v>561</v>
      </c>
    </row>
    <row r="89" customFormat="false" ht="23.85" hidden="false" customHeight="false" outlineLevel="0" collapsed="false">
      <c r="A89" s="10" t="s">
        <v>206</v>
      </c>
      <c r="B89" s="10" t="s">
        <v>660</v>
      </c>
      <c r="C89" s="10" t="s">
        <v>445</v>
      </c>
      <c r="D89" s="10" t="s">
        <v>661</v>
      </c>
      <c r="E89" s="10" t="s">
        <v>662</v>
      </c>
    </row>
    <row r="90" customFormat="false" ht="23.85" hidden="false" customHeight="false" outlineLevel="0" collapsed="false">
      <c r="A90" s="10" t="s">
        <v>206</v>
      </c>
      <c r="B90" s="10" t="s">
        <v>663</v>
      </c>
      <c r="C90" s="10" t="s">
        <v>445</v>
      </c>
      <c r="D90" s="10" t="s">
        <v>664</v>
      </c>
      <c r="E90" s="10" t="s">
        <v>665</v>
      </c>
    </row>
    <row r="91" customFormat="false" ht="23.85" hidden="false" customHeight="false" outlineLevel="0" collapsed="false">
      <c r="A91" s="10" t="s">
        <v>206</v>
      </c>
      <c r="B91" s="10" t="s">
        <v>666</v>
      </c>
      <c r="C91" s="10" t="s">
        <v>447</v>
      </c>
      <c r="D91" s="10" t="s">
        <v>667</v>
      </c>
      <c r="E91" s="10" t="s">
        <v>668</v>
      </c>
    </row>
    <row r="92" customFormat="false" ht="23.85" hidden="false" customHeight="false" outlineLevel="0" collapsed="false">
      <c r="A92" s="10" t="s">
        <v>206</v>
      </c>
      <c r="B92" s="10" t="s">
        <v>490</v>
      </c>
      <c r="C92" s="10" t="s">
        <v>445</v>
      </c>
      <c r="D92" s="10" t="s">
        <v>669</v>
      </c>
      <c r="E92" s="10" t="s">
        <v>214</v>
      </c>
    </row>
    <row r="93" customFormat="false" ht="23.85" hidden="false" customHeight="false" outlineLevel="0" collapsed="false">
      <c r="A93" s="10" t="s">
        <v>206</v>
      </c>
      <c r="B93" s="10" t="s">
        <v>670</v>
      </c>
      <c r="C93" s="10" t="s">
        <v>445</v>
      </c>
      <c r="D93" s="10" t="s">
        <v>671</v>
      </c>
      <c r="E93" s="10" t="s">
        <v>672</v>
      </c>
    </row>
    <row r="94" customFormat="false" ht="23.85" hidden="false" customHeight="false" outlineLevel="0" collapsed="false">
      <c r="A94" s="10" t="s">
        <v>206</v>
      </c>
      <c r="B94" s="10" t="s">
        <v>673</v>
      </c>
      <c r="C94" s="10" t="s">
        <v>455</v>
      </c>
      <c r="D94" s="10" t="s">
        <v>674</v>
      </c>
      <c r="E94" s="10" t="s">
        <v>675</v>
      </c>
    </row>
    <row r="95" customFormat="false" ht="23.85" hidden="false" customHeight="false" outlineLevel="0" collapsed="false">
      <c r="A95" s="10" t="s">
        <v>206</v>
      </c>
      <c r="B95" s="10" t="s">
        <v>549</v>
      </c>
      <c r="C95" s="10" t="s">
        <v>445</v>
      </c>
      <c r="D95" s="10" t="s">
        <v>676</v>
      </c>
      <c r="E95" s="10" t="s">
        <v>677</v>
      </c>
    </row>
    <row r="96" customFormat="false" ht="23.85" hidden="false" customHeight="false" outlineLevel="0" collapsed="false">
      <c r="A96" s="10" t="s">
        <v>206</v>
      </c>
      <c r="B96" s="10" t="s">
        <v>678</v>
      </c>
      <c r="C96" s="10" t="s">
        <v>445</v>
      </c>
      <c r="D96" s="10" t="s">
        <v>679</v>
      </c>
      <c r="E96" s="10" t="s">
        <v>219</v>
      </c>
    </row>
    <row r="97" customFormat="false" ht="23.85" hidden="false" customHeight="false" outlineLevel="0" collapsed="false">
      <c r="A97" s="10" t="s">
        <v>206</v>
      </c>
      <c r="B97" s="10" t="s">
        <v>680</v>
      </c>
      <c r="C97" s="10" t="s">
        <v>453</v>
      </c>
      <c r="D97" s="10" t="s">
        <v>681</v>
      </c>
      <c r="E97" s="10" t="s">
        <v>561</v>
      </c>
    </row>
    <row r="98" customFormat="false" ht="23.85" hidden="false" customHeight="false" outlineLevel="0" collapsed="false">
      <c r="A98" s="10" t="s">
        <v>221</v>
      </c>
      <c r="B98" s="10" t="s">
        <v>682</v>
      </c>
      <c r="C98" s="10" t="s">
        <v>445</v>
      </c>
      <c r="D98" s="10" t="s">
        <v>683</v>
      </c>
      <c r="E98" s="10" t="s">
        <v>684</v>
      </c>
    </row>
    <row r="99" customFormat="false" ht="23.85" hidden="false" customHeight="false" outlineLevel="0" collapsed="false">
      <c r="A99" s="10" t="s">
        <v>221</v>
      </c>
      <c r="B99" s="10" t="s">
        <v>685</v>
      </c>
      <c r="C99" s="10" t="s">
        <v>445</v>
      </c>
      <c r="D99" s="10" t="s">
        <v>686</v>
      </c>
      <c r="E99" s="10" t="s">
        <v>687</v>
      </c>
    </row>
    <row r="100" customFormat="false" ht="35.05" hidden="false" customHeight="false" outlineLevel="0" collapsed="false">
      <c r="A100" s="10" t="s">
        <v>221</v>
      </c>
      <c r="B100" s="10" t="s">
        <v>688</v>
      </c>
      <c r="C100" s="10" t="s">
        <v>449</v>
      </c>
      <c r="D100" s="10" t="s">
        <v>689</v>
      </c>
      <c r="E100" s="10" t="s">
        <v>690</v>
      </c>
    </row>
    <row r="101" customFormat="false" ht="15" hidden="false" customHeight="false" outlineLevel="0" collapsed="false">
      <c r="A101" s="10" t="s">
        <v>221</v>
      </c>
      <c r="B101" s="10" t="s">
        <v>691</v>
      </c>
      <c r="C101" s="10" t="s">
        <v>445</v>
      </c>
      <c r="D101" s="10" t="s">
        <v>692</v>
      </c>
      <c r="E101" s="10" t="s">
        <v>693</v>
      </c>
    </row>
    <row r="102" customFormat="false" ht="23.85" hidden="false" customHeight="false" outlineLevel="0" collapsed="false">
      <c r="A102" s="10" t="s">
        <v>221</v>
      </c>
      <c r="B102" s="10" t="s">
        <v>694</v>
      </c>
      <c r="C102" s="10" t="s">
        <v>445</v>
      </c>
      <c r="D102" s="10" t="s">
        <v>695</v>
      </c>
      <c r="E102" s="10" t="s">
        <v>229</v>
      </c>
    </row>
    <row r="103" customFormat="false" ht="15" hidden="false" customHeight="false" outlineLevel="0" collapsed="false">
      <c r="A103" s="10" t="s">
        <v>221</v>
      </c>
      <c r="B103" s="10" t="s">
        <v>490</v>
      </c>
      <c r="C103" s="10" t="s">
        <v>445</v>
      </c>
      <c r="D103" s="10" t="s">
        <v>696</v>
      </c>
      <c r="E103" s="10" t="s">
        <v>697</v>
      </c>
    </row>
    <row r="104" customFormat="false" ht="23.85" hidden="false" customHeight="false" outlineLevel="0" collapsed="false">
      <c r="A104" s="10" t="s">
        <v>221</v>
      </c>
      <c r="B104" s="10" t="s">
        <v>698</v>
      </c>
      <c r="C104" s="10" t="s">
        <v>455</v>
      </c>
      <c r="D104" s="10" t="s">
        <v>699</v>
      </c>
      <c r="E104" s="10" t="s">
        <v>235</v>
      </c>
    </row>
    <row r="105" customFormat="false" ht="23.85" hidden="false" customHeight="false" outlineLevel="0" collapsed="false">
      <c r="A105" s="10" t="s">
        <v>221</v>
      </c>
      <c r="B105" s="10" t="s">
        <v>502</v>
      </c>
      <c r="C105" s="10" t="s">
        <v>455</v>
      </c>
      <c r="D105" s="10" t="s">
        <v>700</v>
      </c>
      <c r="E105" s="10" t="s">
        <v>701</v>
      </c>
    </row>
    <row r="106" customFormat="false" ht="15" hidden="false" customHeight="false" outlineLevel="0" collapsed="false">
      <c r="A106" s="10" t="s">
        <v>221</v>
      </c>
      <c r="B106" s="10" t="s">
        <v>702</v>
      </c>
      <c r="C106" s="10" t="s">
        <v>455</v>
      </c>
      <c r="D106" s="10" t="s">
        <v>703</v>
      </c>
      <c r="E106" s="10" t="s">
        <v>704</v>
      </c>
    </row>
    <row r="107" customFormat="false" ht="35.05" hidden="false" customHeight="false" outlineLevel="0" collapsed="false">
      <c r="A107" s="10" t="s">
        <v>237</v>
      </c>
      <c r="B107" s="10" t="s">
        <v>705</v>
      </c>
      <c r="C107" s="10" t="s">
        <v>455</v>
      </c>
      <c r="D107" s="10" t="s">
        <v>706</v>
      </c>
      <c r="E107" s="10" t="s">
        <v>707</v>
      </c>
    </row>
    <row r="108" customFormat="false" ht="15" hidden="false" customHeight="false" outlineLevel="0" collapsed="false">
      <c r="A108" s="10" t="s">
        <v>237</v>
      </c>
      <c r="B108" s="10" t="s">
        <v>708</v>
      </c>
      <c r="C108" s="10" t="s">
        <v>445</v>
      </c>
      <c r="D108" s="10" t="s">
        <v>709</v>
      </c>
      <c r="E108" s="10" t="s">
        <v>710</v>
      </c>
    </row>
    <row r="109" customFormat="false" ht="23.85" hidden="false" customHeight="false" outlineLevel="0" collapsed="false">
      <c r="A109" s="10" t="s">
        <v>237</v>
      </c>
      <c r="B109" s="10" t="s">
        <v>490</v>
      </c>
      <c r="C109" s="10" t="s">
        <v>445</v>
      </c>
      <c r="D109" s="10" t="s">
        <v>711</v>
      </c>
      <c r="E109" s="10" t="s">
        <v>245</v>
      </c>
    </row>
    <row r="110" customFormat="false" ht="23.85" hidden="false" customHeight="false" outlineLevel="0" collapsed="false">
      <c r="A110" s="10" t="s">
        <v>237</v>
      </c>
      <c r="B110" s="10" t="s">
        <v>712</v>
      </c>
      <c r="C110" s="10" t="s">
        <v>455</v>
      </c>
      <c r="D110" s="10" t="s">
        <v>713</v>
      </c>
      <c r="E110" s="10" t="s">
        <v>714</v>
      </c>
    </row>
    <row r="111" customFormat="false" ht="15" hidden="false" customHeight="false" outlineLevel="0" collapsed="false">
      <c r="A111" s="10" t="s">
        <v>237</v>
      </c>
      <c r="B111" s="10" t="s">
        <v>715</v>
      </c>
      <c r="C111" s="10" t="s">
        <v>445</v>
      </c>
      <c r="D111" s="10" t="s">
        <v>716</v>
      </c>
      <c r="E111" s="10" t="s">
        <v>251</v>
      </c>
    </row>
    <row r="112" customFormat="false" ht="15" hidden="false" customHeight="false" outlineLevel="0" collapsed="false">
      <c r="A112" s="10" t="s">
        <v>237</v>
      </c>
      <c r="B112" s="10" t="s">
        <v>502</v>
      </c>
      <c r="C112" s="10" t="s">
        <v>455</v>
      </c>
      <c r="D112" s="10" t="s">
        <v>717</v>
      </c>
      <c r="E112" s="10" t="s">
        <v>718</v>
      </c>
    </row>
    <row r="113" customFormat="false" ht="23.85" hidden="false" customHeight="false" outlineLevel="0" collapsed="false">
      <c r="A113" s="10" t="s">
        <v>237</v>
      </c>
      <c r="B113" s="10" t="s">
        <v>719</v>
      </c>
      <c r="C113" s="10" t="s">
        <v>449</v>
      </c>
      <c r="D113" s="10" t="s">
        <v>720</v>
      </c>
      <c r="E113" s="10" t="s">
        <v>721</v>
      </c>
    </row>
    <row r="114" customFormat="false" ht="35.05" hidden="false" customHeight="false" outlineLevel="0" collapsed="false">
      <c r="A114" s="10" t="s">
        <v>253</v>
      </c>
      <c r="B114" s="10" t="s">
        <v>722</v>
      </c>
      <c r="C114" s="10" t="s">
        <v>445</v>
      </c>
      <c r="D114" s="10" t="s">
        <v>723</v>
      </c>
      <c r="E114" s="10" t="s">
        <v>724</v>
      </c>
    </row>
    <row r="115" customFormat="false" ht="15" hidden="false" customHeight="false" outlineLevel="0" collapsed="false">
      <c r="A115" s="10" t="s">
        <v>253</v>
      </c>
      <c r="B115" s="10" t="s">
        <v>725</v>
      </c>
      <c r="C115" s="10" t="s">
        <v>445</v>
      </c>
      <c r="D115" s="10" t="s">
        <v>726</v>
      </c>
      <c r="E115" s="10" t="s">
        <v>261</v>
      </c>
    </row>
    <row r="116" customFormat="false" ht="15" hidden="false" customHeight="false" outlineLevel="0" collapsed="false">
      <c r="A116" s="10" t="s">
        <v>253</v>
      </c>
      <c r="B116" s="10" t="s">
        <v>490</v>
      </c>
      <c r="C116" s="10" t="s">
        <v>445</v>
      </c>
      <c r="D116" s="10" t="s">
        <v>711</v>
      </c>
      <c r="E116" s="10" t="s">
        <v>261</v>
      </c>
    </row>
    <row r="117" customFormat="false" ht="15" hidden="false" customHeight="false" outlineLevel="0" collapsed="false">
      <c r="A117" s="10" t="s">
        <v>253</v>
      </c>
      <c r="B117" s="10" t="s">
        <v>727</v>
      </c>
      <c r="C117" s="10" t="s">
        <v>445</v>
      </c>
      <c r="D117" s="10" t="s">
        <v>711</v>
      </c>
      <c r="E117" s="10" t="s">
        <v>501</v>
      </c>
    </row>
    <row r="118" customFormat="false" ht="15" hidden="false" customHeight="false" outlineLevel="0" collapsed="false">
      <c r="A118" s="10" t="s">
        <v>253</v>
      </c>
      <c r="B118" s="10" t="s">
        <v>728</v>
      </c>
      <c r="C118" s="10" t="s">
        <v>455</v>
      </c>
      <c r="D118" s="10" t="s">
        <v>729</v>
      </c>
      <c r="E118" s="10" t="s">
        <v>267</v>
      </c>
    </row>
    <row r="119" customFormat="false" ht="23.85" hidden="false" customHeight="false" outlineLevel="0" collapsed="false">
      <c r="A119" s="10" t="s">
        <v>253</v>
      </c>
      <c r="B119" s="10" t="s">
        <v>502</v>
      </c>
      <c r="C119" s="10" t="s">
        <v>455</v>
      </c>
      <c r="D119" s="10" t="s">
        <v>730</v>
      </c>
      <c r="E119" s="10" t="s">
        <v>731</v>
      </c>
    </row>
    <row r="120" customFormat="false" ht="23.85" hidden="false" customHeight="false" outlineLevel="0" collapsed="false">
      <c r="A120" s="10" t="s">
        <v>270</v>
      </c>
      <c r="B120" s="10" t="s">
        <v>732</v>
      </c>
      <c r="C120" s="10" t="s">
        <v>445</v>
      </c>
      <c r="D120" s="10" t="s">
        <v>733</v>
      </c>
      <c r="E120" s="10" t="s">
        <v>734</v>
      </c>
    </row>
    <row r="121" customFormat="false" ht="15" hidden="false" customHeight="false" outlineLevel="0" collapsed="false">
      <c r="A121" s="10" t="s">
        <v>270</v>
      </c>
      <c r="B121" s="10" t="s">
        <v>649</v>
      </c>
      <c r="C121" s="10" t="s">
        <v>445</v>
      </c>
      <c r="D121" s="10" t="s">
        <v>696</v>
      </c>
      <c r="E121" s="10" t="s">
        <v>651</v>
      </c>
    </row>
    <row r="122" customFormat="false" ht="15" hidden="false" customHeight="false" outlineLevel="0" collapsed="false">
      <c r="A122" s="10" t="s">
        <v>270</v>
      </c>
      <c r="B122" s="10" t="s">
        <v>499</v>
      </c>
      <c r="C122" s="10" t="s">
        <v>445</v>
      </c>
      <c r="D122" s="10" t="s">
        <v>735</v>
      </c>
      <c r="E122" s="10" t="s">
        <v>651</v>
      </c>
    </row>
    <row r="123" customFormat="false" ht="23.85" hidden="false" customHeight="false" outlineLevel="0" collapsed="false">
      <c r="A123" s="10" t="s">
        <v>270</v>
      </c>
      <c r="B123" s="10" t="s">
        <v>736</v>
      </c>
      <c r="C123" s="10" t="s">
        <v>445</v>
      </c>
      <c r="D123" s="10" t="s">
        <v>737</v>
      </c>
      <c r="E123" s="10" t="s">
        <v>738</v>
      </c>
    </row>
    <row r="124" customFormat="false" ht="23.85" hidden="false" customHeight="false" outlineLevel="0" collapsed="false">
      <c r="A124" s="10" t="s">
        <v>270</v>
      </c>
      <c r="B124" s="10" t="s">
        <v>739</v>
      </c>
      <c r="C124" s="10" t="s">
        <v>445</v>
      </c>
      <c r="D124" s="10" t="s">
        <v>740</v>
      </c>
      <c r="E124" s="10" t="s">
        <v>741</v>
      </c>
    </row>
    <row r="125" customFormat="false" ht="15" hidden="false" customHeight="false" outlineLevel="0" collapsed="false">
      <c r="A125" s="10" t="s">
        <v>270</v>
      </c>
      <c r="B125" s="10" t="s">
        <v>742</v>
      </c>
      <c r="C125" s="10" t="s">
        <v>449</v>
      </c>
      <c r="D125" s="10" t="s">
        <v>743</v>
      </c>
      <c r="E125" s="10" t="s">
        <v>614</v>
      </c>
    </row>
    <row r="126" customFormat="false" ht="15" hidden="false" customHeight="false" outlineLevel="0" collapsed="false">
      <c r="A126" s="10" t="s">
        <v>270</v>
      </c>
      <c r="B126" s="10" t="s">
        <v>744</v>
      </c>
      <c r="C126" s="10" t="s">
        <v>455</v>
      </c>
      <c r="D126" s="10" t="s">
        <v>745</v>
      </c>
      <c r="E126" s="10" t="s">
        <v>704</v>
      </c>
    </row>
    <row r="127" customFormat="false" ht="23.85" hidden="false" customHeight="false" outlineLevel="0" collapsed="false">
      <c r="A127" s="10" t="s">
        <v>283</v>
      </c>
      <c r="B127" s="10" t="s">
        <v>746</v>
      </c>
      <c r="C127" s="10" t="s">
        <v>445</v>
      </c>
      <c r="D127" s="10" t="s">
        <v>747</v>
      </c>
      <c r="E127" s="10" t="s">
        <v>748</v>
      </c>
    </row>
    <row r="128" customFormat="false" ht="23.85" hidden="false" customHeight="false" outlineLevel="0" collapsed="false">
      <c r="A128" s="10" t="s">
        <v>283</v>
      </c>
      <c r="B128" s="10" t="s">
        <v>749</v>
      </c>
      <c r="C128" s="10" t="s">
        <v>445</v>
      </c>
      <c r="D128" s="10" t="s">
        <v>750</v>
      </c>
      <c r="E128" s="10" t="s">
        <v>751</v>
      </c>
    </row>
    <row r="129" customFormat="false" ht="23.85" hidden="false" customHeight="false" outlineLevel="0" collapsed="false">
      <c r="A129" s="10" t="s">
        <v>283</v>
      </c>
      <c r="B129" s="10" t="s">
        <v>752</v>
      </c>
      <c r="C129" s="10" t="s">
        <v>455</v>
      </c>
      <c r="D129" s="10" t="s">
        <v>753</v>
      </c>
      <c r="E129" s="10" t="s">
        <v>754</v>
      </c>
    </row>
    <row r="130" customFormat="false" ht="23.85" hidden="false" customHeight="false" outlineLevel="0" collapsed="false">
      <c r="A130" s="10" t="s">
        <v>283</v>
      </c>
      <c r="B130" s="10" t="s">
        <v>490</v>
      </c>
      <c r="C130" s="10" t="s">
        <v>445</v>
      </c>
      <c r="D130" s="10" t="s">
        <v>755</v>
      </c>
      <c r="E130" s="10" t="s">
        <v>291</v>
      </c>
    </row>
    <row r="131" customFormat="false" ht="23.85" hidden="false" customHeight="false" outlineLevel="0" collapsed="false">
      <c r="A131" s="10" t="s">
        <v>283</v>
      </c>
      <c r="B131" s="10" t="s">
        <v>756</v>
      </c>
      <c r="C131" s="10" t="s">
        <v>445</v>
      </c>
      <c r="D131" s="10" t="s">
        <v>757</v>
      </c>
      <c r="E131" s="10" t="s">
        <v>758</v>
      </c>
    </row>
    <row r="132" customFormat="false" ht="23.85" hidden="false" customHeight="false" outlineLevel="0" collapsed="false">
      <c r="A132" s="10" t="s">
        <v>283</v>
      </c>
      <c r="B132" s="10" t="s">
        <v>759</v>
      </c>
      <c r="C132" s="10" t="s">
        <v>455</v>
      </c>
      <c r="D132" s="10" t="s">
        <v>760</v>
      </c>
      <c r="E132" s="10" t="s">
        <v>296</v>
      </c>
    </row>
    <row r="133" customFormat="false" ht="23.85" hidden="false" customHeight="false" outlineLevel="0" collapsed="false">
      <c r="A133" s="10" t="s">
        <v>283</v>
      </c>
      <c r="B133" s="10" t="s">
        <v>761</v>
      </c>
      <c r="C133" s="10" t="s">
        <v>451</v>
      </c>
      <c r="D133" s="10" t="s">
        <v>762</v>
      </c>
      <c r="E133" s="10" t="s">
        <v>748</v>
      </c>
    </row>
    <row r="134" customFormat="false" ht="15" hidden="false" customHeight="false" outlineLevel="0" collapsed="false">
      <c r="A134" s="10" t="s">
        <v>299</v>
      </c>
      <c r="B134" s="10" t="s">
        <v>604</v>
      </c>
      <c r="C134" s="10" t="s">
        <v>447</v>
      </c>
      <c r="D134" s="10" t="s">
        <v>763</v>
      </c>
      <c r="E134" s="10" t="s">
        <v>307</v>
      </c>
    </row>
    <row r="135" customFormat="false" ht="15" hidden="false" customHeight="false" outlineLevel="0" collapsed="false">
      <c r="A135" s="10" t="s">
        <v>299</v>
      </c>
      <c r="B135" s="10" t="s">
        <v>499</v>
      </c>
      <c r="C135" s="10" t="s">
        <v>445</v>
      </c>
      <c r="D135" s="10" t="s">
        <v>735</v>
      </c>
      <c r="E135" s="10" t="s">
        <v>651</v>
      </c>
    </row>
    <row r="136" customFormat="false" ht="15" hidden="false" customHeight="false" outlineLevel="0" collapsed="false">
      <c r="A136" s="10" t="s">
        <v>299</v>
      </c>
      <c r="B136" s="10" t="s">
        <v>764</v>
      </c>
      <c r="C136" s="10" t="s">
        <v>445</v>
      </c>
      <c r="D136" s="10" t="s">
        <v>765</v>
      </c>
      <c r="E136" s="10" t="s">
        <v>766</v>
      </c>
    </row>
    <row r="137" customFormat="false" ht="15" hidden="false" customHeight="false" outlineLevel="0" collapsed="false">
      <c r="A137" s="10" t="s">
        <v>299</v>
      </c>
      <c r="B137" s="10" t="s">
        <v>767</v>
      </c>
      <c r="C137" s="10" t="s">
        <v>449</v>
      </c>
      <c r="D137" s="10" t="s">
        <v>768</v>
      </c>
      <c r="E137" s="10" t="s">
        <v>313</v>
      </c>
    </row>
    <row r="138" customFormat="false" ht="15" hidden="false" customHeight="false" outlineLevel="0" collapsed="false">
      <c r="A138" s="10" t="s">
        <v>299</v>
      </c>
      <c r="B138" s="10" t="s">
        <v>769</v>
      </c>
      <c r="C138" s="10" t="s">
        <v>455</v>
      </c>
      <c r="D138" s="10" t="s">
        <v>770</v>
      </c>
      <c r="E138" s="10" t="s">
        <v>771</v>
      </c>
    </row>
    <row r="139" customFormat="false" ht="15" hidden="false" customHeight="false" outlineLevel="0" collapsed="false">
      <c r="A139" s="10" t="s">
        <v>299</v>
      </c>
      <c r="B139" s="10" t="s">
        <v>772</v>
      </c>
      <c r="C139" s="10" t="s">
        <v>455</v>
      </c>
      <c r="D139" s="10" t="s">
        <v>773</v>
      </c>
      <c r="E139" s="10" t="s">
        <v>704</v>
      </c>
    </row>
    <row r="140" customFormat="false" ht="15" hidden="false" customHeight="false" outlineLevel="0" collapsed="false">
      <c r="A140" s="10" t="s">
        <v>316</v>
      </c>
      <c r="B140" s="10" t="s">
        <v>774</v>
      </c>
      <c r="C140" s="10" t="s">
        <v>445</v>
      </c>
      <c r="D140" s="10" t="s">
        <v>775</v>
      </c>
      <c r="E140" s="10" t="s">
        <v>324</v>
      </c>
    </row>
    <row r="141" customFormat="false" ht="15" hidden="false" customHeight="false" outlineLevel="0" collapsed="false">
      <c r="A141" s="10" t="s">
        <v>316</v>
      </c>
      <c r="B141" s="10" t="s">
        <v>776</v>
      </c>
      <c r="C141" s="10" t="s">
        <v>451</v>
      </c>
      <c r="D141" s="10" t="s">
        <v>777</v>
      </c>
      <c r="E141" s="10" t="s">
        <v>324</v>
      </c>
    </row>
    <row r="142" customFormat="false" ht="15" hidden="false" customHeight="false" outlineLevel="0" collapsed="false">
      <c r="A142" s="10" t="s">
        <v>316</v>
      </c>
      <c r="B142" s="10" t="s">
        <v>778</v>
      </c>
      <c r="C142" s="10" t="s">
        <v>445</v>
      </c>
      <c r="D142" s="10" t="s">
        <v>779</v>
      </c>
      <c r="E142" s="10" t="s">
        <v>324</v>
      </c>
    </row>
    <row r="143" customFormat="false" ht="15" hidden="false" customHeight="false" outlineLevel="0" collapsed="false">
      <c r="A143" s="10" t="s">
        <v>316</v>
      </c>
      <c r="B143" s="10" t="s">
        <v>780</v>
      </c>
      <c r="C143" s="10" t="s">
        <v>455</v>
      </c>
      <c r="D143" s="10" t="s">
        <v>781</v>
      </c>
      <c r="E143" s="10" t="s">
        <v>329</v>
      </c>
    </row>
    <row r="144" customFormat="false" ht="23.85" hidden="false" customHeight="false" outlineLevel="0" collapsed="false">
      <c r="A144" s="10" t="s">
        <v>316</v>
      </c>
      <c r="B144" s="10" t="s">
        <v>502</v>
      </c>
      <c r="C144" s="10" t="s">
        <v>455</v>
      </c>
      <c r="D144" s="10" t="s">
        <v>782</v>
      </c>
      <c r="E144" s="10" t="s">
        <v>783</v>
      </c>
    </row>
    <row r="145" customFormat="false" ht="15" hidden="false" customHeight="false" outlineLevel="0" collapsed="false">
      <c r="A145" s="10" t="s">
        <v>332</v>
      </c>
      <c r="B145" s="10" t="s">
        <v>784</v>
      </c>
      <c r="C145" s="10" t="s">
        <v>445</v>
      </c>
      <c r="D145" s="10" t="s">
        <v>785</v>
      </c>
      <c r="E145" s="10" t="s">
        <v>340</v>
      </c>
    </row>
    <row r="146" customFormat="false" ht="15" hidden="false" customHeight="false" outlineLevel="0" collapsed="false">
      <c r="A146" s="10" t="s">
        <v>332</v>
      </c>
      <c r="B146" s="10" t="s">
        <v>490</v>
      </c>
      <c r="C146" s="10" t="s">
        <v>445</v>
      </c>
      <c r="D146" s="10" t="s">
        <v>755</v>
      </c>
      <c r="E146" s="10" t="s">
        <v>651</v>
      </c>
    </row>
    <row r="147" customFormat="false" ht="23.85" hidden="false" customHeight="false" outlineLevel="0" collapsed="false">
      <c r="A147" s="10" t="s">
        <v>332</v>
      </c>
      <c r="B147" s="10" t="s">
        <v>786</v>
      </c>
      <c r="C147" s="10" t="s">
        <v>445</v>
      </c>
      <c r="D147" s="10" t="s">
        <v>787</v>
      </c>
      <c r="E147" s="10" t="s">
        <v>788</v>
      </c>
    </row>
    <row r="148" customFormat="false" ht="15" hidden="false" customHeight="false" outlineLevel="0" collapsed="false">
      <c r="A148" s="10" t="s">
        <v>332</v>
      </c>
      <c r="B148" s="10" t="s">
        <v>789</v>
      </c>
      <c r="C148" s="10" t="s">
        <v>449</v>
      </c>
      <c r="D148" s="10" t="s">
        <v>790</v>
      </c>
      <c r="E148" s="10" t="s">
        <v>788</v>
      </c>
    </row>
    <row r="149" customFormat="false" ht="15" hidden="false" customHeight="false" outlineLevel="0" collapsed="false">
      <c r="A149" s="10" t="s">
        <v>332</v>
      </c>
      <c r="B149" s="10" t="s">
        <v>791</v>
      </c>
      <c r="C149" s="10" t="s">
        <v>445</v>
      </c>
      <c r="D149" s="10" t="s">
        <v>792</v>
      </c>
      <c r="E149" s="10"/>
    </row>
    <row r="150" customFormat="false" ht="23.85" hidden="false" customHeight="false" outlineLevel="0" collapsed="false">
      <c r="A150" s="10" t="s">
        <v>332</v>
      </c>
      <c r="B150" s="10" t="s">
        <v>637</v>
      </c>
      <c r="C150" s="10" t="s">
        <v>455</v>
      </c>
      <c r="D150" s="10" t="s">
        <v>793</v>
      </c>
      <c r="E150" s="10" t="s">
        <v>794</v>
      </c>
    </row>
    <row r="151" customFormat="false" ht="15" hidden="false" customHeight="false" outlineLevel="0" collapsed="false">
      <c r="A151" s="10" t="s">
        <v>349</v>
      </c>
      <c r="B151" s="10" t="s">
        <v>795</v>
      </c>
      <c r="C151" s="10" t="s">
        <v>445</v>
      </c>
      <c r="D151" s="10" t="s">
        <v>796</v>
      </c>
      <c r="E151" s="10" t="s">
        <v>797</v>
      </c>
    </row>
    <row r="152" customFormat="false" ht="23.85" hidden="false" customHeight="false" outlineLevel="0" collapsed="false">
      <c r="A152" s="10" t="s">
        <v>349</v>
      </c>
      <c r="B152" s="10" t="s">
        <v>798</v>
      </c>
      <c r="C152" s="10" t="s">
        <v>445</v>
      </c>
      <c r="D152" s="10" t="s">
        <v>799</v>
      </c>
      <c r="E152" s="10" t="s">
        <v>800</v>
      </c>
    </row>
    <row r="153" customFormat="false" ht="15" hidden="false" customHeight="false" outlineLevel="0" collapsed="false">
      <c r="A153" s="10" t="s">
        <v>349</v>
      </c>
      <c r="B153" s="10" t="s">
        <v>801</v>
      </c>
      <c r="C153" s="10" t="s">
        <v>451</v>
      </c>
      <c r="D153" s="10" t="s">
        <v>802</v>
      </c>
      <c r="E153" s="10" t="s">
        <v>803</v>
      </c>
    </row>
    <row r="154" customFormat="false" ht="23.85" hidden="false" customHeight="false" outlineLevel="0" collapsed="false">
      <c r="A154" s="10" t="s">
        <v>349</v>
      </c>
      <c r="B154" s="10" t="s">
        <v>804</v>
      </c>
      <c r="C154" s="10" t="s">
        <v>445</v>
      </c>
      <c r="D154" s="10" t="s">
        <v>805</v>
      </c>
      <c r="E154" s="10" t="s">
        <v>806</v>
      </c>
    </row>
    <row r="155" customFormat="false" ht="15" hidden="false" customHeight="false" outlineLevel="0" collapsed="false">
      <c r="A155" s="10" t="s">
        <v>349</v>
      </c>
      <c r="B155" s="10" t="s">
        <v>490</v>
      </c>
      <c r="C155" s="10" t="s">
        <v>445</v>
      </c>
      <c r="D155" s="10" t="s">
        <v>807</v>
      </c>
      <c r="E155" s="10" t="s">
        <v>357</v>
      </c>
    </row>
    <row r="156" customFormat="false" ht="23.85" hidden="false" customHeight="false" outlineLevel="0" collapsed="false">
      <c r="A156" s="10" t="s">
        <v>349</v>
      </c>
      <c r="B156" s="10" t="s">
        <v>808</v>
      </c>
      <c r="C156" s="10" t="s">
        <v>445</v>
      </c>
      <c r="D156" s="10" t="s">
        <v>809</v>
      </c>
      <c r="E156" s="10" t="s">
        <v>363</v>
      </c>
    </row>
    <row r="157" customFormat="false" ht="23.85" hidden="false" customHeight="false" outlineLevel="0" collapsed="false">
      <c r="A157" s="10" t="s">
        <v>366</v>
      </c>
      <c r="B157" s="10" t="s">
        <v>810</v>
      </c>
      <c r="C157" s="10" t="s">
        <v>449</v>
      </c>
      <c r="D157" s="10" t="s">
        <v>811</v>
      </c>
      <c r="E157" s="10" t="s">
        <v>812</v>
      </c>
    </row>
    <row r="158" customFormat="false" ht="23.85" hidden="false" customHeight="false" outlineLevel="0" collapsed="false">
      <c r="A158" s="10" t="s">
        <v>366</v>
      </c>
      <c r="B158" s="10" t="s">
        <v>813</v>
      </c>
      <c r="C158" s="10" t="s">
        <v>449</v>
      </c>
      <c r="D158" s="10" t="s">
        <v>814</v>
      </c>
      <c r="E158" s="10" t="s">
        <v>815</v>
      </c>
    </row>
    <row r="159" customFormat="false" ht="23.85" hidden="false" customHeight="false" outlineLevel="0" collapsed="false">
      <c r="A159" s="10" t="s">
        <v>366</v>
      </c>
      <c r="B159" s="10" t="s">
        <v>649</v>
      </c>
      <c r="C159" s="10" t="s">
        <v>445</v>
      </c>
      <c r="D159" s="10" t="s">
        <v>735</v>
      </c>
      <c r="E159" s="10" t="s">
        <v>651</v>
      </c>
    </row>
    <row r="160" customFormat="false" ht="23.85" hidden="false" customHeight="false" outlineLevel="0" collapsed="false">
      <c r="A160" s="10" t="s">
        <v>366</v>
      </c>
      <c r="B160" s="10" t="s">
        <v>816</v>
      </c>
      <c r="C160" s="10" t="s">
        <v>445</v>
      </c>
      <c r="D160" s="10" t="s">
        <v>817</v>
      </c>
      <c r="E160" s="10" t="s">
        <v>818</v>
      </c>
    </row>
    <row r="161" customFormat="false" ht="23.85" hidden="false" customHeight="false" outlineLevel="0" collapsed="false">
      <c r="A161" s="10" t="s">
        <v>366</v>
      </c>
      <c r="B161" s="10" t="s">
        <v>819</v>
      </c>
      <c r="C161" s="10" t="s">
        <v>451</v>
      </c>
      <c r="D161" s="10" t="s">
        <v>820</v>
      </c>
      <c r="E161" s="10" t="s">
        <v>812</v>
      </c>
    </row>
    <row r="162" customFormat="false" ht="23.85" hidden="false" customHeight="false" outlineLevel="0" collapsed="false">
      <c r="A162" s="10" t="s">
        <v>366</v>
      </c>
      <c r="B162" s="10" t="s">
        <v>821</v>
      </c>
      <c r="C162" s="10" t="s">
        <v>455</v>
      </c>
      <c r="D162" s="10" t="s">
        <v>822</v>
      </c>
      <c r="E162" s="10"/>
    </row>
  </sheetData>
  <autoFilter ref="A12:E1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90"/>
  </cols>
  <sheetData>
    <row r="1" customFormat="false" ht="42" hidden="false" customHeight="true" outlineLevel="0" collapsed="false">
      <c r="A1" s="5" t="s">
        <v>24</v>
      </c>
      <c r="B1" s="5" t="s">
        <v>2</v>
      </c>
      <c r="C1" s="5" t="s">
        <v>32</v>
      </c>
      <c r="D1" s="5" t="s">
        <v>823</v>
      </c>
    </row>
    <row r="2" customFormat="false" ht="23.85" hidden="false" customHeight="false" outlineLevel="0" collapsed="false">
      <c r="A2" s="9" t="str">
        <f aca="false">'Verified Database'!B9</f>
        <v>GSL (GSL Law &amp; Consulting group)</v>
      </c>
      <c r="B2" s="9" t="str">
        <f aca="false">'Verified Database'!E9</f>
        <v>Отложено: требуется комплаенс-проверка</v>
      </c>
      <c r="C2" s="9" t="n">
        <f aca="false">'Verified Database'!K9</f>
        <v>65</v>
      </c>
      <c r="D2" s="10" t="s">
        <v>824</v>
      </c>
    </row>
    <row r="3" customFormat="false" ht="15" hidden="false" customHeight="false" outlineLevel="0" collapsed="false">
      <c r="A3" s="9" t="str">
        <f aca="false">'Verified Database'!B13</f>
        <v>Riz &amp; Mona Consultancy</v>
      </c>
      <c r="B3" s="9" t="str">
        <f aca="false">'Verified Database'!E13</f>
        <v>Резерв</v>
      </c>
      <c r="C3" s="9" t="n">
        <f aca="false">'Verified Database'!K13</f>
        <v>52</v>
      </c>
      <c r="D3" s="10" t="s">
        <v>825</v>
      </c>
    </row>
    <row r="4" customFormat="false" ht="15" hidden="false" customHeight="false" outlineLevel="0" collapsed="false">
      <c r="A4" s="9" t="str">
        <f aca="false">'Verified Database'!B14</f>
        <v>Creation Business Consultants</v>
      </c>
      <c r="B4" s="9" t="str">
        <f aca="false">'Verified Database'!E14</f>
        <v>Исключено</v>
      </c>
      <c r="C4" s="9" t="n">
        <f aca="false">'Verified Database'!K14</f>
        <v>45</v>
      </c>
      <c r="D4" s="10" t="s">
        <v>269</v>
      </c>
    </row>
    <row r="5" customFormat="false" ht="15" hidden="false" customHeight="false" outlineLevel="0" collapsed="false">
      <c r="A5" s="9" t="str">
        <f aca="false">'Verified Database'!B15</f>
        <v>Tetra Consultants</v>
      </c>
      <c r="B5" s="9" t="str">
        <f aca="false">'Verified Database'!E15</f>
        <v>Резерв</v>
      </c>
      <c r="C5" s="9" t="n">
        <f aca="false">'Verified Database'!K15</f>
        <v>39</v>
      </c>
      <c r="D5" s="10" t="s">
        <v>825</v>
      </c>
    </row>
    <row r="6" customFormat="false" ht="23.85" hidden="false" customHeight="false" outlineLevel="0" collapsed="false">
      <c r="A6" s="9" t="str">
        <f aca="false">'Verified Database'!B16</f>
        <v>InCorp Global (rebranding to Ascentium)</v>
      </c>
      <c r="B6" s="9" t="str">
        <f aca="false">'Verified Database'!E16</f>
        <v>Исключено</v>
      </c>
      <c r="C6" s="9" t="n">
        <f aca="false">'Verified Database'!K16</f>
        <v>35</v>
      </c>
      <c r="D6" s="10" t="s">
        <v>298</v>
      </c>
    </row>
    <row r="7" customFormat="false" ht="15" hidden="false" customHeight="false" outlineLevel="0" collapsed="false">
      <c r="A7" s="9" t="str">
        <f aca="false">'Verified Database'!B17</f>
        <v>Avyanco</v>
      </c>
      <c r="B7" s="9" t="str">
        <f aca="false">'Verified Database'!E17</f>
        <v>Исключено</v>
      </c>
      <c r="C7" s="9" t="n">
        <f aca="false">'Verified Database'!K17</f>
        <v>34</v>
      </c>
      <c r="D7" s="10" t="s">
        <v>315</v>
      </c>
    </row>
    <row r="8" customFormat="false" ht="15" hidden="false" customHeight="false" outlineLevel="0" collapsed="false">
      <c r="A8" s="9" t="str">
        <f aca="false">'Verified Database'!B18</f>
        <v>IQ-EQ</v>
      </c>
      <c r="B8" s="9" t="str">
        <f aca="false">'Verified Database'!E18</f>
        <v>Исключено</v>
      </c>
      <c r="C8" s="9" t="n">
        <f aca="false">'Verified Database'!K18</f>
        <v>32</v>
      </c>
      <c r="D8" s="10" t="s">
        <v>331</v>
      </c>
    </row>
    <row r="9" customFormat="false" ht="23.85" hidden="false" customHeight="false" outlineLevel="0" collapsed="false">
      <c r="A9" s="9" t="str">
        <f aca="false">'Verified Database'!B19</f>
        <v>Sleek (Sleek Tech Pte Ltd)</v>
      </c>
      <c r="B9" s="9" t="str">
        <f aca="false">'Verified Database'!E19</f>
        <v>Исключено</v>
      </c>
      <c r="C9" s="9" t="n">
        <f aca="false">'Verified Database'!K19</f>
        <v>31</v>
      </c>
      <c r="D9" s="10" t="s">
        <v>348</v>
      </c>
    </row>
    <row r="10" customFormat="false" ht="15" hidden="false" customHeight="false" outlineLevel="0" collapsed="false">
      <c r="A10" s="9" t="str">
        <f aca="false">'Verified Database'!B20</f>
        <v>Shuraa Business Setup</v>
      </c>
      <c r="B10" s="9" t="str">
        <f aca="false">'Verified Database'!E20</f>
        <v>Исключено</v>
      </c>
      <c r="C10" s="9" t="n">
        <f aca="false">'Verified Database'!K20</f>
        <v>30</v>
      </c>
      <c r="D10" s="10" t="s">
        <v>365</v>
      </c>
    </row>
    <row r="11" customFormat="false" ht="23.85" hidden="false" customHeight="false" outlineLevel="0" collapsed="false">
      <c r="A11" s="9" t="str">
        <f aca="false">'Verified Database'!B21</f>
        <v>SFM Corporate Services (SFM Offshore)</v>
      </c>
      <c r="B11" s="9" t="str">
        <f aca="false">'Verified Database'!E21</f>
        <v>Исключено</v>
      </c>
      <c r="C11" s="9" t="n">
        <f aca="false">'Verified Database'!K21</f>
        <v>25</v>
      </c>
      <c r="D11" s="10" t="s">
        <v>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2026-10-08T20:27:04Z</dcterms:created>
  <dc:creator>openpyxl</dc:creator>
  <dc:description/>
  <dc:language>en-US</dc:language>
  <cp:lastModifiedBy/>
  <dcterms:modified xsi:type="dcterms:W3CDTF">2026-10-08T20:27:04Z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