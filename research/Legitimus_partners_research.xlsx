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Рейтинг" sheetId="1" state="visible" r:id="rId3"/>
    <sheet name="Группа A – нет Молдовы" sheetId="2" state="visible" r:id="rId4"/>
    <sheet name="Группа B – есть Молдова" sheetId="3" state="visible" r:id="rId5"/>
    <sheet name="TOP-5 письма" sheetId="4" state="visible" r:id="rId6"/>
    <sheet name="Исключены" sheetId="5" state="visible" r:id="rId7"/>
    <sheet name="Методика" sheetId="6" state="visible" r:id="rId8"/>
  </sheets>
  <definedNames>
    <definedName function="false" hidden="true" localSheetId="0" name="_xlnm._FilterDatabase" vbProcedure="false">Рейтинг!$A$1:$AE$21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<sst xmlns="http://schemas.openxmlformats.org/spreadsheetml/2006/main" count="553" uniqueCount="442">
  <si>
    <t xml:space="preserve">Ранг</t>
  </si>
  <si>
    <t xml:space="preserve">TOP-5</t>
  </si>
  <si>
    <t xml:space="preserve">Компания</t>
  </si>
  <si>
    <t xml:space="preserve">Штаб-квартира</t>
  </si>
  <si>
    <t xml:space="preserve">Сайт</t>
  </si>
  <si>
    <t xml:space="preserve">Сегмент</t>
  </si>
  <si>
    <t xml:space="preserve">Группа</t>
  </si>
  <si>
    <t xml:space="preserve">Молдова в каталоге</t>
  </si>
  <si>
    <t xml:space="preserve">Доказательство по Молдове</t>
  </si>
  <si>
    <t xml:space="preserve">Источник (Молдова)</t>
  </si>
  <si>
    <t xml:space="preserve">Юрисдикции (кол-во)</t>
  </si>
  <si>
    <t xml:space="preserve">Юрисдикции (примеры)</t>
  </si>
  <si>
    <t xml:space="preserve">Источник (юрисдикции)</t>
  </si>
  <si>
    <t xml:space="preserve">Партнёрская программа</t>
  </si>
  <si>
    <t xml:space="preserve">Детали программы</t>
  </si>
  <si>
    <t xml:space="preserve">Источник (программа)</t>
  </si>
  <si>
    <t xml:space="preserve">Email</t>
  </si>
  <si>
    <t xml:space="preserve">Телефон</t>
  </si>
  <si>
    <t xml:space="preserve">Страница контактов</t>
  </si>
  <si>
    <t xml:space="preserve">Адрес</t>
  </si>
  <si>
    <t xml:space="preserve">Источник контактов</t>
  </si>
  <si>
    <t xml:space="preserve">Почему подходит Legitimus</t>
  </si>
  <si>
    <t xml:space="preserve">Риски / проверить</t>
  </si>
  <si>
    <t xml:space="preserve">Признаки активности</t>
  </si>
  <si>
    <t xml:space="preserve">Уровень проверки</t>
  </si>
  <si>
    <t xml:space="preserve">Клиенты</t>
  </si>
  <si>
    <t xml:space="preserve">Партнёрство</t>
  </si>
  <si>
    <t xml:space="preserve">Молдова</t>
  </si>
  <si>
    <t xml:space="preserve">Доступность</t>
  </si>
  <si>
    <t xml:space="preserve">Масштаб</t>
  </si>
  <si>
    <t xml:space="preserve">Итоговый балл</t>
  </si>
  <si>
    <t xml:space="preserve">Accace</t>
  </si>
  <si>
    <t xml:space="preserve">Slovakia (Bratislava)</t>
  </si>
  <si>
    <t xml:space="preserve">https://accace.com</t>
  </si>
  <si>
    <t xml:space="preserve">CEE-rooted outsourcing / corporate &amp; secretarial, accounting, payroll, tax; market entry</t>
  </si>
  <si>
    <t xml:space="preserve">Да</t>
  </si>
  <si>
    <t xml:space="preserve">Accace has dedicated Moldova pages: 'Corporate and secretarial services in Moldova' (go-to-market research, business setup, tax registration, business permits, work/residence permits, bank account opening, corporate changes) and 'Accounting and reporting services in Moldova'. Moldova office address NOT found in snippets; unclear whether own office or partner-delivered (Accace states other locations are covered via its partner network).</t>
  </si>
  <si>
    <t xml:space="preserve">https://www.accace.com/locations/moldova/corporate-and-secretarial-services/ ; https://www.accace.com/locations/moldova/accounting-and-reporting-services/ (found via WebSearch; page itself could not be fetched)</t>
  </si>
  <si>
    <t xml:space="preserve">60+ jurisdictions (per Accace site as reported in search snippet; older listings: ~40 / 50+)</t>
  </si>
  <si>
    <t xml:space="preserve">Slovakia, Czech Republic, Hungary, Poland, Romania, Ukraine, Serbia, Moldova, South Africa, United Kingdom</t>
  </si>
  <si>
    <t xml:space="preserve">WebSearch snippets: https://www.amcham.ro/company/accace-outsourcing ; https://accace.com/locations/serbia/corporate-and-secretarial-services ; https://accace.com/locations/romania/corporate-and-secretarial-services ; https://accace.com/?p=252658 (Kyiv)</t>
  </si>
  <si>
    <t xml:space="preserve">Accace Circle - a 'co-created business community of like-minded BPO providers and advisors' offering unified services under one account management; Accace also states locations outside own branches are 'covered via Accace's trusted network of partners'. Contact named publicly: Business Development &amp; Community Lead. No public application form found. Type: local-provider network.</t>
  </si>
  <si>
    <t xml:space="preserve">https://circle.accace.com/ ; https://accace.com/accace-circle-new-markets-within-your-reach-press-release/ (via WebSearch)</t>
  </si>
  <si>
    <t xml:space="preserve">slovakia@accace.com (Slovak office, per third-party directory - not verified on accace.com); czechrepublic@accace.com (Czech office)</t>
  </si>
  <si>
    <t xml:space="preserve">+421 2 325 530 00 (Slovakia, per directory - not verified on own site); +420 222 753 480 (Czech)</t>
  </si>
  <si>
    <t xml:space="preserve">not verified (accace.com unreachable from research environment)</t>
  </si>
  <si>
    <t xml:space="preserve">Twin City C, Mlynske Nivy 16, 821 09 Bratislava, Slovakia (per Accace newsroom/PitchBook; FinStat shows Accace Management s.r.o. seat moved to Pribinova 40, 811 09 Bratislava in Oct 2024 - conflicting)</t>
  </si>
  <si>
    <t xml:space="preserve">https://accace.com/accace-slovakia-is-present-in-three-locations ; https://pitchbook.com/profiles/advisor/539638-66 ; https://finstat.sk/35873639/obchodny_register (via WebSearch)</t>
  </si>
  <si>
    <t xml:space="preserve">Strongest fit: CEE-focused, already sells Moldova corporate/accounting services and explicitly operates a partner network (Accace Circle) of local BPO/advisory providers. If Moldova is partner-delivered, Legitimus could become/compete to be the Moldovan legal partner; at minimum a local-counsel referral source.</t>
  </si>
  <si>
    <t xml:space="preserve">Live indexed pages incl. Moldova service pages and Accace Circle site; 7,000+ professionals claim</t>
  </si>
  <si>
    <t xml:space="preserve">Поисковая выдача по оф. домену; сайт не открыт</t>
  </si>
  <si>
    <t xml:space="preserve">BridgeWest (BridgeWest Legal Network)</t>
  </si>
  <si>
    <t xml:space="preserve">Cyprus (Nicosia, per third-party profile; not verified on own site)</t>
  </si>
  <si>
    <t xml:space="preserve">https://bridgewest.eu</t>
  </si>
  <si>
    <t xml:space="preserve">International company formation, legal, financial and immigration services via affiliate network</t>
  </si>
  <si>
    <t xml:space="preserve">Dedicated page: agents assist local and foreign investors to register SMEs in Moldova, offer ready-made Moldovan companies and VAT registration.</t>
  </si>
  <si>
    <t xml:space="preserve">https://bridgewest.eu/company-formation-moldova/</t>
  </si>
  <si>
    <t xml:space="preserve">"over 70 jurisdictions" (own claim)</t>
  </si>
  <si>
    <t xml:space="preserve">Moldova; Cambodia; EU countries (VAT registration); Singapore (affiliate OpenCompanySingapore.com); Thailand (affiliate ThaiCompanyFormation.com); Ireland (LawyersIreland.eu)</t>
  </si>
  <si>
    <t xml:space="preserve">https://bridgewest.eu/ ; https://directory.partner.io/bridgewest-eu</t>
  </si>
  <si>
    <t xml:space="preserve">Delivers services through a network of independent Affiliates (law firms, consultants, accountants) in 70+ countries; homepage has a 'Join Our Network' section. Application terms not verified.</t>
  </si>
  <si>
    <t xml:space="preserve">https://bridgewest.eu/</t>
  </si>
  <si>
    <t xml:space="preserve">office@bridgewest.eu</t>
  </si>
  <si>
    <t xml:space="preserve">+44 203 287 0408 (other number shown as '+35 699 699 405' - prefix incomplete, not verified)</t>
  </si>
  <si>
    <t xml:space="preserve">https://bridgewest.eu/contact/</t>
  </si>
  <si>
    <t xml:space="preserve">not verified</t>
  </si>
  <si>
    <t xml:space="preserve">https://bridgewest.eu/contact/ (search snippet)</t>
  </si>
  <si>
    <t xml:space="preserve">Network model built on independent local affiliates and already sells Moldova - ideal profile for Legitimus to become (or replace) the Moldova affiliate. Smaller firm, so easier to reach decision makers.</t>
  </si>
  <si>
    <t xml:space="preserve">Live site indexed with Moldova and other jurisdiction pages; exact recency not verified</t>
  </si>
  <si>
    <t xml:space="preserve">Commitbiz</t>
  </si>
  <si>
    <t xml:space="preserve">UAE</t>
  </si>
  <si>
    <t xml:space="preserve">https://www.commitbiz.com</t>
  </si>
  <si>
    <t xml:space="preserve">Business setup, accounting, corporate secretarial and IP services; UAE + GCC formation with offices in Europe (UK, Italy, Romania, Russia)</t>
  </si>
  <si>
    <t xml:space="preserve">Нет</t>
  </si>
  <si>
    <t xml:space="preserve">Site search for Moldova only returned UAE double-tax-treaty lists that include Moldova; no Moldova formation page. Notably lists an office in Bucharest, Romania (Moldova's neighbour).</t>
  </si>
  <si>
    <t xml:space="preserve">https://www.commitbiz.com/tax-residency-certificate-uae</t>
  </si>
  <si>
    <t xml:space="preserve">not stated; formation pages found for UAE, Qatar, Bahrain; offices in ~10 countries</t>
  </si>
  <si>
    <t xml:space="preserve">UAE (Dubai mainland, free zones, JAFZA/RAK offshore, DIFC, ADGM); Qatar; Bahrain; Oman (Muscat office); offices: London, Naples, Bucharest, Moscow</t>
  </si>
  <si>
    <t xml:space="preserve">https://www.commitbiz.com/qa/company-formation-in-qatar ; https://www.commitbiz.com/bh/company-registration-in-bahrain ; https://www.commitbiz.com/contact-us</t>
  </si>
  <si>
    <t xml:space="preserve">Refer &amp; Earn / Referral Agreement (referral): terms page describes lead passing between independent associates, 7-day accept/decline window, 30-day termination notice.</t>
  </si>
  <si>
    <t xml:space="preserve">https://www.commitbiz.com/refer-and-earn-terms-conditions</t>
  </si>
  <si>
    <t xml:space="preserve">info@commitbiz.com</t>
  </si>
  <si>
    <t xml:space="preserve">+971 4 871 4159 (main); +971 4 386 7444 (contact page title)</t>
  </si>
  <si>
    <t xml:space="preserve">https://www.commitbiz.com/contact-us</t>
  </si>
  <si>
    <t xml:space="preserve">Commitbiz LLC, 10th floor, Dubai World Trade Center, Sheikh Zayed Road, P.O. Box 293816, Dubai, UAE. Other listed offices: Abu Dhabi, Sharjah, Muscat, Bahrain, Doha, London (Dashwood House, 69 Old Broad St), Moscow, Naples, Bucharest (Bd. Maresal Alexandru Averescu 8-10).</t>
  </si>
  <si>
    <t xml:space="preserve">Strongest regional fit in this batch: offices in Bucharest, Moscow and Italy show an Eastern Europe/CIS client base, and it has a formal B2B referral agreement. Legitimus could be the Moldova node next to the Romania office.</t>
  </si>
  <si>
    <t xml:space="preserve">Live site with 2026 content ('Dubai Mainland Company Formation cost (2026)').</t>
  </si>
  <si>
    <t xml:space="preserve">Virtuzone</t>
  </si>
  <si>
    <t xml:space="preserve">https://virtuzone.com</t>
  </si>
  <si>
    <t xml:space="preserve">UAE business setup (mainland/free zone) + offshore/international jurisdictions; part of Ascentium group (Singapore) since 2025</t>
  </si>
  <si>
    <t xml:space="preserve">Offshore jurisdictions page lists Singapore, HK, KSA, BVI, Cayman only. Site search for Moldova returned only a blog article on CIS business opportunities (lists Moldova as CIS member) and a visa-free list; no Moldova formation service. Note: Virtuzone announced JV 'Virtuzone CIS' with Seven Pillars Law at AIFC (Astana, Kazakhstan) - c.2020, current status unclear.</t>
  </si>
  <si>
    <t xml:space="preserve">https://virtuzone.com/blog/untapped-potential-business-opportunities-cis ; https://virtuzone.com/press-release/virtuzone-and-seven-pillars-law-create-joint-venture-virtuzone-cis/</t>
  </si>
  <si>
    <t xml:space="preserve">not stated as a number; UAE (all free zones/mainland) + 5 named international jurisdictions on offshore page; parent Ascentium described as 27 markets / 58 cities</t>
  </si>
  <si>
    <t xml:space="preserve">UAE (mainland, free zones, ADGM); Singapore; Hong Kong; Saudi Arabia; British Virgin Islands; Cayman Islands</t>
  </si>
  <si>
    <t xml:space="preserve">https://virtuzone.com/offshore-jurisdictions/</t>
  </si>
  <si>
    <t xml:space="preserve">Virtuzone Referral Platform (referral type): register for personal referral link; payout after referred client buys; up to AED 3,000 per business-setup referral, AED 1,500 per corporate-services referral; no cap. Also 'Our Business &amp; Digital Partners' page (vendor partners e.g. Payoneer) and past JVs (Virtuzone CIS, Virtuzone Israel).</t>
  </si>
  <si>
    <t xml:space="preserve">https://referral.virtuzone.com/ ; https://virtuzone.com/our-partners/</t>
  </si>
  <si>
    <t xml:space="preserve">info@virtuzone.com</t>
  </si>
  <si>
    <t xml:space="preserve">+971 4 457 8200 (WhatsApp +971 4 457 8220); 800-VIRTUZONE</t>
  </si>
  <si>
    <t xml:space="preserve">https://virtuzone.com/contactus</t>
  </si>
  <si>
    <t xml:space="preserve">Al Saaha Office B, 404, Souk Al Bahar, Burj Khalifa District, Dubai, UAE</t>
  </si>
  <si>
    <t xml:space="preserve">https://virtuzone.com/contactus ; https://virtuzone.com/faq/</t>
  </si>
  <si>
    <t xml:space="preserve">Large, well-known UAE formation brand with a CIS-oriented history (Virtuzone CIS JV) and a now-global parent (Ascentium, 27 markets), but its referral scheme is aimed at inbound UAE clients. Best angle: Legitimus as Moldova/CIS-Europe local counsel for Ascentium/Virtuzone clients, plus reverse referrals of Moldovan founders wanting UAE companies.</t>
  </si>
  <si>
    <t xml:space="preserve">В задании был указан домен vzone.ae, это посторонний сайт; правильный домен virtuzone.com</t>
  </si>
  <si>
    <t xml:space="preserve">Live site with 2025-2026 content (VARA 2025, Sharjah Law No.3 of 2025, 'joined Ascentium in 2025').</t>
  </si>
  <si>
    <t xml:space="preserve">Uniwide</t>
  </si>
  <si>
    <t xml:space="preserve">Latvia origin (Riga office est. 2014); head office now Dubai, UAE</t>
  </si>
  <si>
    <t xml:space="preserve">https://www.uniwide.com</t>
  </si>
  <si>
    <t xml:space="preserve">International company formation, bank account support, registered office, compliance, accounting (incl. offshore)</t>
  </si>
  <si>
    <t xml:space="preserve">Не найдено (неясно)</t>
  </si>
  <si>
    <t xml:space="preserve">No Moldova page found in searches; full jurisdiction list not retrievable.</t>
  </si>
  <si>
    <t xml:space="preserve">not found (search 'uniwide.com Moldova' returned nothing from uniwide.com)</t>
  </si>
  <si>
    <t xml:space="preserve">30+ jurisdictions (via own offices and local registration agents)</t>
  </si>
  <si>
    <t xml:space="preserve">Cyprus, Latvia, United Kingdom, Seychelles, UAE, Hong Kong (full list not retrieved)</t>
  </si>
  <si>
    <t xml:space="preserve">https://www.uniwide.com/about/ ; https://www.uniwide.com/partner-programme/ ; https://www.uniwide.com/contact/ (via WebSearch)</t>
  </si>
  <si>
    <t xml:space="preserve">Partner Programme aimed at law firms, banks, payment providers and tax advisers. Two models: referral (partner introduces client, Uniwide delivers end-to-end) and subcontractor (partner keeps client communication, Uniwide delivers formation - effectively white-label). Uniwide also states it relies on 'long-standing partnerships with local registration agents in most 30+ jurisdictions'.</t>
  </si>
  <si>
    <t xml:space="preserve">https://www.uniwide.com/partner-programme/ ; https://www.uniwide.com/about/ (via WebSearch)</t>
  </si>
  <si>
    <t xml:space="preserve">not found</t>
  </si>
  <si>
    <t xml:space="preserve">+371 6611 8787 (Riga); +44 (0)20 4501 0600 (London); +248 441-19-70 (Seychelles)</t>
  </si>
  <si>
    <t xml:space="preserve">https://www.uniwide.com/contact/</t>
  </si>
  <si>
    <t xml:space="preserve">Riga: Krisjana Valdemara str. 33, office 20, Riga LV-1010, Latvia; Head office: Office 2902, HDS Tower, Cluster F, JLT, Dubai, PO Box 393879</t>
  </si>
  <si>
    <t xml:space="preserve">https://www.uniwide.com/contact/ ; https://www.uniwide.com/new-uniwide-head-office-address-in-dubai/ (via WebSearch)</t>
  </si>
  <si>
    <t xml:space="preserve">Substitute candidate. Explicit partner programme for law firms with referral and subcontractor models, and reliance on local registration agents - Legitimus could both refer clients and offer itself as Moldova local agent. Russian-speaking/Baltic-origin client base likely overlaps with Moldova demand.</t>
  </si>
  <si>
    <t xml:space="preserve">Общий email не найден; связь через форму или телефоны</t>
  </si>
  <si>
    <t xml:space="preserve">Live contact page and newsroom (Dubai office operations update, Seychelles licence notice)</t>
  </si>
  <si>
    <t xml:space="preserve">Healy Consultants Group (part of Hawksford)</t>
  </si>
  <si>
    <t xml:space="preserve">Singapore (also Dubai office)</t>
  </si>
  <si>
    <t xml:space="preserve">https://www.healyconsultants.com</t>
  </si>
  <si>
    <t xml:space="preserve">Global company formation / market entry for SMEs, multi-jurisdiction</t>
  </si>
  <si>
    <t xml:space="preserve">Dedicated Moldova pages: 10-step incorporation process (name reservation, filing with State Registration Chamber, IDNO, bank account, tax/social registration); LLC with 1 shareholder/1 director any nationality, 12% CIT, ~2 weeks; setup cost quoted in EUR (EUR 7,950 per snippet); 2025 case study of Maltese client registering a recruitment agency in Moldova. Snippet-level only; page fetch failed.</t>
  </si>
  <si>
    <t xml:space="preserve">https://www.healyconsultants.com/moldova-company-registration/ ; https://www.healyconsultants.com/moldova-company-registration/client-case-studies/ ; https://www.healyconsultants.com/moldova-company-registration/accounting-legal</t>
  </si>
  <si>
    <t xml:space="preserve">"almost 200 different countries" (own claim)</t>
  </si>
  <si>
    <t xml:space="preserve">United Kingdom; BVI; Cayman Islands; Pakistan; US (Delaware, Nevada, Wyoming); Moldova</t>
  </si>
  <si>
    <t xml:space="preserve">https://www.healyconsultants.com/company-formation/global-company-registration/ (search snippet)</t>
  </si>
  <si>
    <t xml:space="preserve">Не найдена</t>
  </si>
  <si>
    <t xml:space="preserve">site search for referral/introducer/partner program returned nothing; no partner page found</t>
  </si>
  <si>
    <t xml:space="preserve">not found (WebSearch 'Healy Consultants referral partner program introducer')</t>
  </si>
  <si>
    <t xml:space="preserve">healy@hawksford.com</t>
  </si>
  <si>
    <t xml:space="preserve">+65 6031 0332 (SG); +971 4266 4470 (Dubai)</t>
  </si>
  <si>
    <t xml:space="preserve">https://www.healyconsultants.com/contact-us/</t>
  </si>
  <si>
    <t xml:space="preserve">16 Raffles Quay, #32-03 Hong Leong Building, Singapore 048581</t>
  </si>
  <si>
    <t xml:space="preserve">https://www.healyconsultants.com/contact-us/ (search snippet)</t>
  </si>
  <si>
    <t xml:space="preserve">Already sells Moldova incorporation remotely via power of attorney with local filings, so they must use Moldovan local agents/lawyers; a strong candidate for Legitimus as local counsel/execution partner. Now inside Hawksford, so partner decisions may sit at group level.</t>
  </si>
  <si>
    <t xml:space="preserve">Входит в Hawksford; публичной партнёрской программы нет</t>
  </si>
  <si>
    <t xml:space="preserve">Site indexed with 2026-dated pages ('10 steps to incorporate in Moldova in 2026'); acquired by Hawksford (Jersey-based group) - Dubai office renamed Hawksford per privatebankerinternational.com</t>
  </si>
  <si>
    <t xml:space="preserve">Sovereign Group (The Sovereign Group)</t>
  </si>
  <si>
    <t xml:space="preserve">Gibraltar</t>
  </si>
  <si>
    <t xml:space="preserve">https://www.sovereigngroup.com</t>
  </si>
  <si>
    <t xml:space="preserve">Independent corporate &amp; trust services provider; offshore/free-zone/onshore company formation, trusts, pensions</t>
  </si>
  <si>
    <t xml:space="preserve">WebSearch 'site:sovereigngroup.com Moldova' returned no sovereigngroup.com pages; office/jurisdiction lists in snippets contain no Moldova. Jurisdictions page could not be fetched (egress blocked).</t>
  </si>
  <si>
    <t xml:space="preserve">WebSearch site:sovereigngroup.com Moldova (2026-10-08)</t>
  </si>
  <si>
    <t xml:space="preserve">20+ jurisdictions (own site: 'more than 20 jurisdictions'; 2025 event page: 20+ offices, 600 professionals; 'network of offices or agents in all major IFCs')</t>
  </si>
  <si>
    <t xml:space="preserve">BVI, Cyprus, Dubai, Gibraltar, Guernsey, Hong Kong, Isle of Man, Malta, Mauritius, Portugal, Saudi Arabia, Shanghai, Singapore, South Africa, Switzerland, Turks &amp; Caicos, UK (Wikipedia list; snapshot)</t>
  </si>
  <si>
    <t xml:space="preserve">https://www.sovereigngroup.com/about-sovereign/our-history/ ; https://www.sovereigngroup.com/events/sovereign-at-going-global-live-2025/ ; https://en.wikipedia.org/wiki/Sovereign_Group (search snippets only)</t>
  </si>
  <si>
    <t xml:space="preserve">Searches for introducer/referral/partner programme on sovereigngroup.com found nothing. Group says it works via 'offices or agents' in IFCs (agent network model), so introducer relations likely handled ad hoc via general enquiries.</t>
  </si>
  <si>
    <t xml:space="preserve">not found (WebSearch 2026-10-08)</t>
  </si>
  <si>
    <t xml:space="preserve">info@SovereignGroup.com (general); gib@SovereignGroup.com (Gibraltar office)</t>
  </si>
  <si>
    <t xml:space="preserve">+350 200 76173 (Sovereign Trust (Gibraltar) Ltd)</t>
  </si>
  <si>
    <t xml:space="preserve">https://www.sovereigngroup.com/contact-us/</t>
  </si>
  <si>
    <t xml:space="preserve">Sovereign Place, 117 Main Street, Gibraltar</t>
  </si>
  <si>
    <t xml:space="preserve">https://www.sovereigngroup.com/contact-us/ ; https://www.sovereigngroup.com/offices/gibraltar/ (search snippets)</t>
  </si>
  <si>
    <t xml:space="preserve">Large independent CSP using a mix of own offices and local agents; no CEE/CIS office visible, so a Moldova local-counsel/agent role is plausible. Scale and Gibraltar/UK client base make it a credible referral source, but no formal introducer program is public.</t>
  </si>
  <si>
    <t xml:space="preserve">Indexed 2025 event page (Going Global Live 2025) on sovereigngroup.com; live contact/office pages in index. Site not fetched directly (egress proxy 403).</t>
  </si>
  <si>
    <t xml:space="preserve">Eurofast</t>
  </si>
  <si>
    <t xml:space="preserve">Cyprus (Nicosia)</t>
  </si>
  <si>
    <t xml:space="preserve">https://eurofast.eu</t>
  </si>
  <si>
    <t xml:space="preserve">Regional business advisory: tax, accounting, corporate/legal support, company formation in SE Europe, Middle East, Baltics</t>
  </si>
  <si>
    <t xml:space="preserve">Office lists found include Bucharest, Kyiv, Tbilisi but not Chisinau; 'site:eurofast.eu Moldova' returned nothing.</t>
  </si>
  <si>
    <t xml:space="preserve">https://bkr.com/firm/eurofast-ltd/ (office list; via WebSearch); site search returned nothing</t>
  </si>
  <si>
    <t xml:space="preserve">Presence in 21+ cities across Southeast Europe, Middle East and Baltics (~19 countries)</t>
  </si>
  <si>
    <t xml:space="preserve">Cyprus, Greece, Bulgaria, Romania (Bucharest), Serbia, Montenegro, Albania, North Macedonia, Croatia, Slovenia, Kosovo, Bosnia &amp; Herzegovina, Egypt, Georgia (Tbilisi), Ukraine (Kyiv), Lithuania (Vilnius), Estonia (Tallinn), UAE (Dubai)</t>
  </si>
  <si>
    <t xml:space="preserve">https://bkr.com/firm/eurofast-ltd/ ; https://career.auth.gr/companies/eurofast/ (via WebSearch; office lists differ by source)</t>
  </si>
  <si>
    <t xml:space="preserve">Сеть (неформально)</t>
  </si>
  <si>
    <t xml:space="preserve">Eurofast Ltd is a member firm of BKR International (independent accounting/advisory network) and listed on PrimeGlobal; historically Taxand member in Cyprus. No public referral/partner programme found.</t>
  </si>
  <si>
    <t xml:space="preserve">https://bkr.com/firm/eurofast-ltd/ ; https://www.primeglobal.net/firms/eurofast (via WebSearch)</t>
  </si>
  <si>
    <t xml:space="preserve">info@eurofast.eu (per third-party career site profile - not verified on eurofast.eu)</t>
  </si>
  <si>
    <t xml:space="preserve">+357 22 699 000 (Nicosia, per BKR directory)</t>
  </si>
  <si>
    <t xml:space="preserve">Cypress Centre, 5 Chytron Street, CY-1075 Nicosia (Lefkosia), Cyprus</t>
  </si>
  <si>
    <t xml:space="preserve">https://bkr.com/firm/eurofast-ltd/ ; https://career.auth.gr/companies/eurofast/ (via WebSearch)</t>
  </si>
  <si>
    <t xml:space="preserve">Good regional fit: covers Romania, Ukraine, Georgia, Baltics but not Moldova, and works cross-border in the Balkans/Black Sea region. Moldova is a natural gap; Legitimus could serve as their Moldova correspondent.</t>
  </si>
  <si>
    <t xml:space="preserve">Последние датированные новости 2022 г.: проверить, активен ли сайт</t>
  </si>
  <si>
    <t xml:space="preserve">Listed in BKR International directory; latest dated news found 2022 (CFI.co award). No 2025-2026 news found - operating status likely but not freshly verified.</t>
  </si>
  <si>
    <t xml:space="preserve">TMF Group</t>
  </si>
  <si>
    <t xml:space="preserve">Netherlands (Amsterdam)</t>
  </si>
  <si>
    <t xml:space="preserve">https://www.tmf-group.com</t>
  </si>
  <si>
    <t xml:space="preserve">Global corporate secretarial, accounting, HR/payroll, entity management, market entry (enterprise)</t>
  </si>
  <si>
    <t xml:space="preserve">Europe locations list (35) includes Romania and Ukraine but not Moldova; site-restricted search 'site:tmf-group.com Moldova' returned nothing from tmf-group.com.</t>
  </si>
  <si>
    <t xml:space="preserve">https://www.tmf-group.com/en/locations/emea (via WebSearch); no Moldova page found</t>
  </si>
  <si>
    <t xml:space="preserve">87 jurisdictions, 125+ offices (Europe: 35 locations)</t>
  </si>
  <si>
    <t xml:space="preserve">Austria, Belgium, Bulgaria, Croatia, Cyprus, Czech Republic, Denmark, Netherlands, Poland, Romania, Ukraine, United Kingdom, Latvia, Lithuania, Estonia (2026 via Nordgain acquisition)</t>
  </si>
  <si>
    <t xml:space="preserve">https://www.tmf-group.com/en/locations/ ; https://www.tmf-group.com/en/locations/emea (via WebSearch)</t>
  </si>
  <si>
    <t xml:space="preserve">Searches for TMF Group partner/referral/introducer programme returned only an Ashoka CSR partnership. No public referral or local-provider partner programme found.</t>
  </si>
  <si>
    <t xml:space="preserve">https://ashoka.org/en/partner/tmf-group (only partner-related result)</t>
  </si>
  <si>
    <t xml:space="preserve">+31 20 575 5600 (third-party ZoomInfo listing only - not verified on own site)</t>
  </si>
  <si>
    <t xml:space="preserve">Luna ArenA, Herikerbergweg 238, 1101 CM Amsterdam, Netherlands</t>
  </si>
  <si>
    <t xml:space="preserve">https://www.tmf-group.com/en/locations/emea/netherlands ; https://annualreport.tmf-group.com/search/3001011 (via WebSearch)</t>
  </si>
  <si>
    <t xml:space="preserve">Huge network with Romania and Ukraine but no Moldova - genuine gap Legitimus could fill for clients needing Moldova. However TMF operates own entities and has no public partner programme, so approach would need to be via CEE regional management (e.g. Romania office).</t>
  </si>
  <si>
    <t xml:space="preserve">Acquired Nordgain (Oct 2025), expanded into Estonia (Mar 2026) per Baltic Times; live locations pages</t>
  </si>
  <si>
    <t xml:space="preserve">Vistra (incl. Tricor; acquired Biz Latin Hub)</t>
  </si>
  <si>
    <t xml:space="preserve">Hong Kong</t>
  </si>
  <si>
    <t xml:space="preserve">https://www.vistra.com</t>
  </si>
  <si>
    <t xml:space="preserve">Global corporate, fund and private-client services; international expansion</t>
  </si>
  <si>
    <t xml:space="preserve">WebSearch 'site:vistra.com Moldova' returned no Vistra pages about Moldova (only a name coincidence: CFO Kris Moldovan on stocktitan.net). No Moldova in located jurisdiction pages.</t>
  </si>
  <si>
    <t xml:space="preserve">50+ markets/jurisdictions (own pages vary: 45+ jurisdictions, 85+ offices)</t>
  </si>
  <si>
    <t xml:space="preserve">Hong Kong SAR; China; Poland; United Kingdom; Romania (listed on Vistra companies page, unconfirmed)</t>
  </si>
  <si>
    <t xml:space="preserve">https://www.vistra.com/ ; https://www.vistra.com/vistra-companies ; https://www.vistra.com/locations/emea/poland</t>
  </si>
  <si>
    <t xml:space="preserve">No public referral/partner program found; historically used affiliate arrangements (e.g. Biz Latin Hub collaborated with Vistra via affiliate arrangement before acquisition). General contact form routes enquiries.</t>
  </si>
  <si>
    <t xml:space="preserve">https://www.bizlatinhub.com/vistra-acquires-biz-latin-hub/</t>
  </si>
  <si>
    <t xml:space="preserve">not verified (redacted in snippet)</t>
  </si>
  <si>
    <t xml:space="preserve">+852 2521 3661</t>
  </si>
  <si>
    <t xml:space="preserve">https://www.vistra.com/contact-form</t>
  </si>
  <si>
    <t xml:space="preserve">19/F, Lee Garden One, 33 Hysan Avenue, Causeway Bay, Hong Kong</t>
  </si>
  <si>
    <t xml:space="preserve">https://www.vistra.com/about/head-office (search snippet)</t>
  </si>
  <si>
    <t xml:space="preserve">Large global player with strong CEE presence (Poland, possibly Romania) but no Moldova; historically fills gaps via affiliates, so a Moldova affiliate/local-counsel slot is conceivable but hard to win at enterprise scale.</t>
  </si>
  <si>
    <t xml:space="preserve">Поглотила Biz Latin Hub и Tricor; крупная корпорация, выйти на нужного человека сложно</t>
  </si>
  <si>
    <t xml:space="preserve">Live; Tricor merged in (https://www.vistra.com/tricor-now-part-vistra); acquired Biz Latin Hub Dec 2025 and launched Vistra Latam June 2026 (cfotech.news)</t>
  </si>
  <si>
    <t xml:space="preserve">GSL (GSL group of companies)</t>
  </si>
  <si>
    <t xml:space="preserve">not verified (offices London, Moscow, Nicosia, Hong Kong, Dubai etc.; main phone is Moscow +7)</t>
  </si>
  <si>
    <t xml:space="preserve">https://gsl.org</t>
  </si>
  <si>
    <t xml:space="preserve">Offshore/onshore company registration, tax, legal, banking introductions</t>
  </si>
  <si>
    <t xml:space="preserve">Moldova page: incorporation or shelf company, registered office for 1 year, apostilled docs, secretarial, bank-account pre-approval; price EUR 2,000; 1-3 workdays for LLC with foreign participation. Also Moldova tax page.</t>
  </si>
  <si>
    <t xml:space="preserve">https://gsl.org/en/offshore/offshore-zones/eastern-europe/moldova/ ; https://gsl.org/en/taxes/moldova/</t>
  </si>
  <si>
    <t xml:space="preserve">not stated in snippets; many offshore/onshore zones across Europe, Americas, Asia</t>
  </si>
  <si>
    <t xml:space="preserve">Moldova; BVI; Latvia; Gibraltar; Liechtenstein; Costa Rica; China; US (New York)</t>
  </si>
  <si>
    <t xml:space="preserve">https://gsl.org/en/offshore/ ; https://gsl.org/en/offshore/offshore-zones/compare/</t>
  </si>
  <si>
    <t xml:space="preserve">Site says it has 'many trusted partners in different countries' but no partner/agent programme page found.</t>
  </si>
  <si>
    <t xml:space="preserve">https://gsl.org/en/</t>
  </si>
  <si>
    <t xml:space="preserve">gsl@gsl.org</t>
  </si>
  <si>
    <t xml:space="preserve">+7 495 234 3833</t>
  </si>
  <si>
    <t xml:space="preserve">https://gsl.org/en/contacts/moscow/</t>
  </si>
  <si>
    <t xml:space="preserve">https://gsl.org/en/contacts/moscow/ ; https://gsl.org/en/contacts/bali-indonesia/ (search snippets)</t>
  </si>
  <si>
    <t xml:space="preserve">Sells Moldova packages without a Moldovan office, so likely uses a local agent - a local-counsel opening. However, strong Moscow footprint raises sanctions/reputational diligence concerns for Legitimus.</t>
  </si>
  <si>
    <t xml:space="preserve">Телефон и присутствие в Москве: до контакта проверить санкционные и репутационные риски</t>
  </si>
  <si>
    <t xml:space="preserve">Live, indexed; office listing includes Hong Kong, Dubai, Riga, Bali</t>
  </si>
  <si>
    <t xml:space="preserve">Riz &amp; Mona Consultancy</t>
  </si>
  <si>
    <t xml:space="preserve">https://www.rizmona.com</t>
  </si>
  <si>
    <t xml:space="preserve">Dubai business setup consultancy (since 2009), IFZA professional partner; international setups via associate-firm network</t>
  </si>
  <si>
    <t xml:space="preserve">Site search for Moldova returned only a news item on the UAE-Moldova mutual visa-free agreement (Aug 2025) and travel lists; no Moldova formation service.</t>
  </si>
  <si>
    <t xml:space="preserve">https://www.rizmona.com/news/uae-moldova-sign-mutual-visa-free-travel-agreement-in-abu-dhabi/</t>
  </si>
  <si>
    <t xml:space="preserve">not stated; 'across the world' via associate firms; named: UAE + Singapore, Malaysia, Mauritius, KSA (plus a Turkey setup blog)</t>
  </si>
  <si>
    <t xml:space="preserve">UAE (mainland, free zones incl. IFZA, ADGM, JAFZA offshore); Singapore; Malaysia; Mauritius; Saudi Arabia; Turkey (blog)</t>
  </si>
  <si>
    <t xml:space="preserve">https://www.rizmona.com/ ; https://www.rizmona.com/who-we-are/ ; https://www.rizmona.com/blog/business-setup-in-turkey/</t>
  </si>
  <si>
    <t xml:space="preserve">No referral/affiliate page found. Site states it delivers services worldwide 'through its well established network of associate firms' (local-provider network, no application page).</t>
  </si>
  <si>
    <t xml:space="preserve">https://www.rizmona.com/who-we-are/</t>
  </si>
  <si>
    <t xml:space="preserve">info@rizmona.com</t>
  </si>
  <si>
    <t xml:space="preserve">+971 4 558 6339; WhatsApp +971 54 582 1012</t>
  </si>
  <si>
    <t xml:space="preserve">https://www.rizmona.com/contact-us/</t>
  </si>
  <si>
    <t xml:space="preserve">Office 2401, The Exchange Tower, Business Bay, Dubai, UAE (older page: Office 1006, Single Business Tower, SZR, PO Box 393598)</t>
  </si>
  <si>
    <t xml:space="preserve">https://www.rizmona.com/contact-us/ ; https://www.rizmona.com/terms-and-conditions/</t>
  </si>
  <si>
    <t xml:space="preserve">Small founder-led firm that explicitly works through associate firms abroad, so it could add a Moldova associate. It has written about the UAE-Moldova visa-free deal, but its scale is modest.</t>
  </si>
  <si>
    <t xml:space="preserve">Live site; 'About Us (March 2026)', 2026-titled pages, Aug 2025 news.</t>
  </si>
  <si>
    <t xml:space="preserve">Tetra Consultants</t>
  </si>
  <si>
    <t xml:space="preserve">Singapore</t>
  </si>
  <si>
    <t xml:space="preserve">https://www.tetraconsultants.com</t>
  </si>
  <si>
    <t xml:space="preserve">Global company registration, financial licences, bank account opening, nominee services, trademarks</t>
  </si>
  <si>
    <t xml:space="preserve">WebSearch 'site:tetraconsultants.com Moldova' returned no tetraconsultants.com pages; full jurisdiction list could not be fetched.</t>
  </si>
  <si>
    <t xml:space="preserve">WebSearch site:tetraconsultants.com Moldova (2026-10-08)</t>
  </si>
  <si>
    <t xml:space="preserve">Not stated as a number in snippets; covers 'Asia, Europe, Americas, Africa and the Middle East'</t>
  </si>
  <si>
    <t xml:space="preserve">Dominica, Cayman Islands, USA, Canada, Bermuda (dedicated 'Register Company' pages)</t>
  </si>
  <si>
    <t xml:space="preserve">https://tetraconsultants.com/ ; https://www.tetraconsultants.com/video/register-company-in-cayman-islands/ (search snippets)</t>
  </si>
  <si>
    <t xml:space="preserve">No partner/referral/affiliate page surfaced in search.</t>
  </si>
  <si>
    <t xml:space="preserve">enquiry@tetraconsultants.com</t>
  </si>
  <si>
    <t xml:space="preserve">not found (site footer offers WhatsApp per snippet)</t>
  </si>
  <si>
    <t xml:space="preserve">not verified (homepage https://tetraconsultants.com/)</t>
  </si>
  <si>
    <t xml:space="preserve">67 Ubi Crescent #05-01, Techniques Centre, Singapore 408560</t>
  </si>
  <si>
    <t xml:space="preserve">https://tetraconsultants.com/ (snippet)</t>
  </si>
  <si>
    <t xml:space="preserve">Broad multi-jurisdiction formation shop likely to rely on local partners in smaller European markets; Moldova presence unknown. Singapore HQ, not UK, though it was assigned to this batch.</t>
  </si>
  <si>
    <t xml:space="preserve">Live indexed homepage with anti-fraud notice, active careers pages.</t>
  </si>
  <si>
    <t xml:space="preserve">Shuraa Business Setup</t>
  </si>
  <si>
    <t xml:space="preserve">https://www.shuraa.com</t>
  </si>
  <si>
    <t xml:space="preserve">UAE business setup (mainland, free zone, offshore), IFZA professional partner; offices abroad (UK, Netherlands, India)</t>
  </si>
  <si>
    <t xml:space="preserve">Site search for Moldova returned only visa-free travel lists for UAE residents; no Moldova formation page. No non-UAE formation jurisdiction list found.</t>
  </si>
  <si>
    <t xml:space="preserve">https://www.shuraa.com/visa-free-countries-for-uae-residents/</t>
  </si>
  <si>
    <t xml:space="preserve">not stated; formation found only in UAE (mainland, free zones, JAFZA/RAK offshore). Claims &gt;100,000 companies registered in UAE.</t>
  </si>
  <si>
    <t xml:space="preserve">Dubai mainland; UAE free zones (Sharjah, Abu Dhabi, Ajman, RAK, Fujairah); JAFZA offshore; RAK ICC offshore</t>
  </si>
  <si>
    <t xml:space="preserve">https://www.shuraa.com/uae-offshore-company-formation/ ; https://www.shuraa.com/about/</t>
  </si>
  <si>
    <t xml:space="preserve">Shuraa Refer &amp; Earn programme (referral): up to AED 3,000 per successful introduction, paid after completed mainland/free zone setup; referrers may not represent Shuraa or sign agreements.</t>
  </si>
  <si>
    <t xml:space="preserve">https://referral.shuraa.com/ ; https://referral.shuraa.com/terms-and-conditions</t>
  </si>
  <si>
    <t xml:space="preserve">info@shuraa.com (UK: info@shuraa.co.uk)</t>
  </si>
  <si>
    <t xml:space="preserve">+971 4 408 1900; toll-free 800-SHURAA; WhatsApp +971 50 777 5554</t>
  </si>
  <si>
    <t xml:space="preserve">https://www.shuraa.com/contact-us/</t>
  </si>
  <si>
    <t xml:space="preserve">Office 501, 5th Floor, Aspin Commercial Tower, Sheikh Zayed Road, Dubai, UAE, P.O. Box 78029. Other offices listed: 85 Uxbridge Road, Ealing, London W5 5BW (UK); Amsterdam (NL); Delhi (IN).</t>
  </si>
  <si>
    <t xml:space="preserve">Big UAE-inbound formation house with offices in London/Amsterdam/Delhi used for client acquisition rather than foreign incorporation. Fit is mostly reverse referral (Moldovan clients to UAE) or occasional outbound referrals; low need for Moldovan counsel.</t>
  </si>
  <si>
    <t xml:space="preserve">Live site with 2026-dated pages ('Business Setup in Dubai and the UAE 2026', 'Best Countries to Start a Business in 2026').</t>
  </si>
  <si>
    <t xml:space="preserve">SFM Corporate Services (SFM Offshore)</t>
  </si>
  <si>
    <t xml:space="preserve">Switzerland (offices also Dubai, Seychelles, Hong Kong; sources conflict)</t>
  </si>
  <si>
    <t xml:space="preserve">https://www.sfmoffshore.com</t>
  </si>
  <si>
    <t xml:space="preserve">Offshore company formation, UAE free zones, nominee services, bank account opening, UAE residency, trusts/foundations</t>
  </si>
  <si>
    <t xml:space="preserve">WebSearch 'site:sfmoffshore.com Moldova' returned nothing; own jurisdiction list not fetched.</t>
  </si>
  <si>
    <t xml:space="preserve">WebSearch site:sfmoffshore.com Moldova (2026-10-08)</t>
  </si>
  <si>
    <t xml:space="preserve">~50 (third-party directory figure; not verified on own site)</t>
  </si>
  <si>
    <t xml:space="preserve">BVI, Seychelles, Delaware, Hong Kong, Singapore, UAE free zones (DIFC, DMCC, RAK ICC, JAFZA), Panama foundations</t>
  </si>
  <si>
    <t xml:space="preserve">https://www.jasminedirectory.com/business-marketing/detail,1856595773,sfm.html (third-party snippet)</t>
  </si>
  <si>
    <t xml:space="preserve">Searches for SFM introducer/partner/affiliate program returned nothing.</t>
  </si>
  <si>
    <t xml:space="preserve">13th Floor, Capricorn Tower, Sheikh Zayed Road, Dubai, UAE (Feefo listing, third-party)</t>
  </si>
  <si>
    <t xml:space="preserve">https://feefo.com/fr-CA/reviews/sfm-offshore</t>
  </si>
  <si>
    <t xml:space="preserve">Offshore/UAE-centred retail formation agent; Moldova not visible. Possible minor referral source for clients wanting an onshore European/nearshore entity, but contacts are unverified.</t>
  </si>
  <si>
    <t xml:space="preserve">Active Feefo review profile with many pages of reviews; directory listings. Own site not fetched.</t>
  </si>
  <si>
    <t xml:space="preserve">Creation Business Consultants</t>
  </si>
  <si>
    <t xml:space="preserve">https://www.creationbc.com</t>
  </si>
  <si>
    <t xml:space="preserve">GCC market-entry / corporate services (UAE, KSA and wider GCC), offices in Dubai, DIFC, Riyadh, Hong Kong</t>
  </si>
  <si>
    <t xml:space="preserve">Locations page/menu lists GCC, Egypt, HK, China, UK, AU, USA, KR and offshore islands; no Moldova. Site search for Moldova returned no relevant pages.</t>
  </si>
  <si>
    <t xml:space="preserve">https://www.creationbc.com/locations/</t>
  </si>
  <si>
    <t xml:space="preserve">'over 10 countries' (locations page)</t>
  </si>
  <si>
    <t xml:space="preserve">UAE; Saudi Arabia; Kuwait; Bahrain; Oman; Qatar; Egypt; Hong Kong; BVI; Cayman Islands; Seychelles; Mauritius; Saint Kitts</t>
  </si>
  <si>
    <t xml:space="preserve">Searches for partner/referral/affiliate on site returned no program; only a careers listing mentioning 'referral partners'.</t>
  </si>
  <si>
    <t xml:space="preserve">info@creationbc.com</t>
  </si>
  <si>
    <t xml:space="preserve">+971 4 878 6240 (Dubai); +966 11 434 3300 (Riyadh)</t>
  </si>
  <si>
    <t xml:space="preserve">https://www.creationbc.com/contact-us/</t>
  </si>
  <si>
    <t xml:space="preserve">Office 2102, Cheddar Cheese Tower (O-14 Tower), Business Bay, Dubai, UAE (older pages: Prism Tower Office 2308); DIFC: Level 1, Innovation One; Riyadh: 5115 An Narjis, Prince Faisal Ibn Bandar Ibn Abdulaziz Rd, Riyadh 13324</t>
  </si>
  <si>
    <t xml:space="preserve">https://www.creationbc.com/our-team/ ; https://www.creationbc.com/contact-us/ ; https://www.creationbc.com/en-sa/contact-us/</t>
  </si>
  <si>
    <t xml:space="preserve">Serious mid-size market-entry firm with a GCC/Asia focus and no Eastern Europe coverage. Weak natural fit; possible only as an outbound referral counterpart for Moldovan clients entering the GCC.</t>
  </si>
  <si>
    <t xml:space="preserve">Live site; Hong Kong office announced 9 May 2024; 2026-era news posts.</t>
  </si>
  <si>
    <t xml:space="preserve">Avyanco</t>
  </si>
  <si>
    <t xml:space="preserve">https://avyanco.com</t>
  </si>
  <si>
    <t xml:space="preserve">Dubai business setup + accounting/compliance; also UK limited company and Saudi MISA setups; desks in London and Ahmedabad</t>
  </si>
  <si>
    <t xml:space="preserve">Site search for Moldova returned only unrelated UAE service pages; no Moldova page.</t>
  </si>
  <si>
    <t xml:space="preserve">not found (site search avyanco.com 'Moldova')</t>
  </si>
  <si>
    <t xml:space="preserve">not stated; UAE + UK + Saudi Arabia (+ BVI guide)</t>
  </si>
  <si>
    <t xml:space="preserve">UAE (mainland, free zones: Meydan, RAKEZ, DUQE, SAIF, UAQ FTZ); United Kingdom (Companies House Ltd); Saudi Arabia (MISA); BVI (guide)</t>
  </si>
  <si>
    <t xml:space="preserve">https://avyanco.com/ ; https://avyanco.com/business-setup-in-saudi-arabia/ ; https://avyanco.com/bvi-company-formation-guide/</t>
  </si>
  <si>
    <t xml:space="preserve">No referral/affiliate page found in site searches; contact page titled 'Talk to a Partner' (refers to firm partners, not a program).</t>
  </si>
  <si>
    <t xml:space="preserve">info@avyanco.com</t>
  </si>
  <si>
    <t xml:space="preserve">+971 50 398 9000 (Dubai); +44 7404 022740 (UK desk)</t>
  </si>
  <si>
    <t xml:space="preserve">https://avyanco.com/contact-us/</t>
  </si>
  <si>
    <t xml:space="preserve">Level 36, Burj Al Salam Tower, Trade Center First, Sheikh Zayed Road, Dubai, UAE; UK desk: Regus Harrow, 79 College Road, Harrow HA1 1BD</t>
  </si>
  <si>
    <t xml:space="preserve">https://avyanco.com/contact-us/ ; https://avyanco.com/terms-conditions/</t>
  </si>
  <si>
    <t xml:space="preserve">Mid-size Dubai firm with a modest international offer (UK, KSA) and no CEE presence. Limited fit; possible ad-hoc referrals.</t>
  </si>
  <si>
    <t xml:space="preserve">Live site; 2026 BVI guide; DED licence 909402 (Avyanco Business Consultancy LLC).</t>
  </si>
  <si>
    <t xml:space="preserve">InCorp Global (rebranding to Ascentium)</t>
  </si>
  <si>
    <t xml:space="preserve">https://www.incorp.asia</t>
  </si>
  <si>
    <t xml:space="preserve">APAC corporate services: incorporation, corporate secretarial, accounting/tax, payroll, immigration</t>
  </si>
  <si>
    <t xml:space="preserve">Market list is APAC-only (9 markets) with no Moldova; WebSearch 'site:incorp.asia Moldova' returned no incorp.asia pages (only unrelated incorpore.md).</t>
  </si>
  <si>
    <t xml:space="preserve">https://www.incorp.asia/about/</t>
  </si>
  <si>
    <t xml:space="preserve">9 APAC markets (some pages still say 8); ~20 offices + 7 in China</t>
  </si>
  <si>
    <t xml:space="preserve">Singapore; Australia; Hong Kong SAR; India; Indonesia; Mainland China; Malaysia; Philippines; Vietnam</t>
  </si>
  <si>
    <t xml:space="preserve">https://www.incorp.asia/about/ ; https://www.incorp.asia/press-releases/incorp-global-expands-its-footprint-in-hong-kong/</t>
  </si>
  <si>
    <t xml:space="preserve">No InCorp Global partner/referral page found. Note: the 20%-commission referral program at incorp.com is a different US company (InCorp Services) - not this firm. ACE Singapore member discount (15%) exists but is a perk, not a referral program.</t>
  </si>
  <si>
    <t xml:space="preserve">https://ace.org.sg/startup-support-pack/incorp-global/</t>
  </si>
  <si>
    <t xml:space="preserve">+65 8699 8821 (WhatsApp)</t>
  </si>
  <si>
    <t xml:space="preserve">https://www.incorp.asia/contact-us/</t>
  </si>
  <si>
    <t xml:space="preserve">36 Robinson Road, #20-01 City House, Singapore 068877</t>
  </si>
  <si>
    <t xml:space="preserve">https://www.incorp.asia/contact-us/ (search snippet)</t>
  </si>
  <si>
    <t xml:space="preserve">Pure APAC footprint, no Europe/CIS coverage; Moldova referrals would be rare and only for Asian clients going to Europe. Low strategic fit beyond an occasional outbound referral.</t>
  </si>
  <si>
    <t xml:space="preserve">Не путать с InCorp Services (США, incorp.com), у которой есть реферальная программа 20%</t>
  </si>
  <si>
    <t xml:space="preserve">Live, indexed press releases; About page states rebranding to Ascentium; 1,500+ staff, 20,000+ clients claimed</t>
  </si>
  <si>
    <t xml:space="preserve">Sleek</t>
  </si>
  <si>
    <t xml:space="preserve">https://sleek.com</t>
  </si>
  <si>
    <t xml:space="preserve">Digital company incorporation, corporate secretary, accounting for SMEs/startups</t>
  </si>
  <si>
    <t xml:space="preserve">Only 4 markets; WebSearch 'site:sleek.com Moldova' returned no sleek.com pages.</t>
  </si>
  <si>
    <t xml:space="preserve">4 (Singapore, Hong Kong, Australia, UK)</t>
  </si>
  <si>
    <t xml:space="preserve">Singapore; Hong Kong; Australia; United Kingdom</t>
  </si>
  <si>
    <t xml:space="preserve">https://sleek.com/sg/about/ ; https://sleek.com/sg/</t>
  </si>
  <si>
    <t xml:space="preserve">Affiliate partners programme: SGD 300 per successful conversion + SGD 1,000 bonus per 10 conversions; open to communities/creators with SME audiences; new countries on request via affiliates@sleek.com. Also 'Partner perks' page for third-party vendors.</t>
  </si>
  <si>
    <t xml:space="preserve">https://sleek.com/sg/affiliates/ ; https://sleek.com/sg/our-trusted-partners/</t>
  </si>
  <si>
    <t xml:space="preserve">affiliates@sleek.com (affiliate programme); general email not found</t>
  </si>
  <si>
    <t xml:space="preserve">+65 6929 8273</t>
  </si>
  <si>
    <t xml:space="preserve">https://sleek.com/sg/ (Contact Sales in navigation)</t>
  </si>
  <si>
    <t xml:space="preserve">https://sleek.com/sg/affiliates/ (search snippet)</t>
  </si>
  <si>
    <t xml:space="preserve">Only 4 home markets, no Eastern Europe; inbound affiliate programme pays for referrals TO Sleek, not out. Little Moldova demand; low fit.</t>
  </si>
  <si>
    <t xml:space="preserve">Live; 2026-dated HK incorporation guide indexed (https://sleek.com/hk/resources/sleek-hong-kong-incorporation-overview/)</t>
  </si>
  <si>
    <t xml:space="preserve">IQ-EQ</t>
  </si>
  <si>
    <t xml:space="preserve">Luxembourg</t>
  </si>
  <si>
    <t xml:space="preserve">https://iqeq.com</t>
  </si>
  <si>
    <t xml:space="preserve">Fund administration, corporate, trust &amp; private client services (institutional/fund focus)</t>
  </si>
  <si>
    <t xml:space="preserve">No Moldova (nor Romania/Ukraine) presence found; 'site:iqeq.com Moldova' returned nothing from iqeq.com. Full locations list could not be fetched.</t>
  </si>
  <si>
    <t xml:space="preserve">not found (site search returned nothing; https://iqeq.com/locations/ not fetchable)</t>
  </si>
  <si>
    <t xml:space="preserve">25 jurisdictions</t>
  </si>
  <si>
    <t xml:space="preserve">Luxembourg, United States, Mainland China, Hong Kong, India, Japan, Singapore, UAE (Europe/Africa/Middle East coverage stated)</t>
  </si>
  <si>
    <t xml:space="preserve">https://iqeq.foleon.com/brochure/hybrid-funds/about-iq-eq ; https://iqeq.com/careers/locations/united-states/ (via WebSearch)</t>
  </si>
  <si>
    <t xml:space="preserve">No referral/introducer/partner programme found in searches.</t>
  </si>
  <si>
    <t xml:space="preserve">+352 466 1111 (Luxembourg registered office)</t>
  </si>
  <si>
    <t xml:space="preserve">https://iqeq.com/lu/locations/luxembourg/ (location page with 'Contact us' link)</t>
  </si>
  <si>
    <t xml:space="preserve">412F, route d'Esch, L-1471 Luxembourg (directories also show L-2086)</t>
  </si>
  <si>
    <t xml:space="preserve">https://iqeq.com/lu/locations/luxembourg/ (via WebSearch)</t>
  </si>
  <si>
    <t xml:space="preserve">Weak fit: fund-administration/institutional focus in major financial centres, no CEE/Moldova footprint and no partner programme. Low likelihood of Moldova referrals.</t>
  </si>
  <si>
    <t xml:space="preserve">Active careers postings on iqeq.com (2026); 5,800+ staff per brochure</t>
  </si>
  <si>
    <t xml:space="preserve">Группа A: Молдова отсутствует или не найдена в опубликованном каталоге (зелёные ячейки берутся с листа «Рейтинг»)</t>
  </si>
  <si>
    <t xml:space="preserve">Доказательство / источник</t>
  </si>
  <si>
    <t xml:space="preserve">компаний в группе</t>
  </si>
  <si>
    <t xml:space="preserve">Группа B: Молдова уже предлагается</t>
  </si>
  <si>
    <t xml:space="preserve">TOP-5: черновики писем. СТАТУС: НЕ ОТПРАВЛЕНО, нужно утверждение. Полный текст в research/top5_letters.md</t>
  </si>
  <si>
    <t xml:space="preserve">Кому / канал</t>
  </si>
  <si>
    <t xml:space="preserve">Тема письма</t>
  </si>
  <si>
    <t xml:space="preserve">Ключевой аргумент</t>
  </si>
  <si>
    <t xml:space="preserve">Что сверить до отправки</t>
  </si>
  <si>
    <t xml:space="preserve">Статус</t>
  </si>
  <si>
    <t xml:space="preserve">Accace Circle, https://circle.accace.com/ (общий email не подтверждён)</t>
  </si>
  <si>
    <t xml:space="preserve">Moldova legal partner for Accace clients | Legitimus, Chișinău</t>
  </si>
  <si>
    <t xml:space="preserve">Молдова уже предлагается, рынки без собственных филиалов покрываются через партнёров (Accace Circle). Legitimus как юридический партнёр по Молдове или резервный</t>
  </si>
  <si>
    <t xml:space="preserve">Есть ли у Accace собственный офис в Кишинёве</t>
  </si>
  <si>
    <t xml:space="preserve">Черновик, не отправлено</t>
  </si>
  <si>
    <t xml:space="preserve">office@bridgewest.eu; Join Our Network на bridgewest.eu</t>
  </si>
  <si>
    <t xml:space="preserve">Joining the BridgeWest network as your Moldova affiliate | Legitimus</t>
  </si>
  <si>
    <t xml:space="preserve">Продаёт регистрацию в Молдове через независимых аффилиатов в 70+ странах; Legitimus как аффилиат по Молдове</t>
  </si>
  <si>
    <t xml:space="preserve">Страница по Молдове и условия вступления в сеть</t>
  </si>
  <si>
    <t xml:space="preserve">info@commitbiz.com; /contact-us</t>
  </si>
  <si>
    <t xml:space="preserve">Moldova partner for Commitbiz | referral cooperation proposal</t>
  </si>
  <si>
    <t xml:space="preserve">Есть офис в Бухаресте и формальный Referral Agreement; Молдовы нет. Взаимные рекомендации</t>
  </si>
  <si>
    <t xml:space="preserve">Офис в Бухаресте; условия реферального соглашения</t>
  </si>
  <si>
    <t xml:space="preserve">info@virtuzone.com; referral.virtuzone.com</t>
  </si>
  <si>
    <t xml:space="preserve">Partnership proposal: Moldova legal support for Virtuzone / Ascentium clients</t>
  </si>
  <si>
    <t xml:space="preserve">История работы с СНГ (Virtuzone CIS), Молдовы нет; клиенты из Молдовы в ОАЭ и местный юрист в Молдове для клиентов Virtuzone/Ascentium</t>
  </si>
  <si>
    <t xml:space="preserve">Текущий статус Virtuzone CIS; контакт по партнёрствам</t>
  </si>
  <si>
    <t xml:space="preserve">Форма на /partner-programme/ или /contact/; +371 6611 8787</t>
  </si>
  <si>
    <t xml:space="preserve">Uniwide Partner Programme | law firm in Moldova (referral and local agent)</t>
  </si>
  <si>
    <t xml:space="preserve">Программа открыта для юрфирм (реферальная и субподрядная модели), работает через локальных агентов</t>
  </si>
  <si>
    <t xml:space="preserve">Полный список юрисдикций (есть ли Молдова)</t>
  </si>
  <si>
    <t xml:space="preserve">Причина исключения</t>
  </si>
  <si>
    <t xml:space="preserve">Acclime Global Business (formerly OCRA Worldwide)</t>
  </si>
  <si>
    <t xml:space="preserve">Ребрендинг OCRA → Acclime (2024), фокус АТР/офшоры; публичные контакты не подтверждены на собственном сайте</t>
  </si>
  <si>
    <t xml:space="preserve">Pearse Trust (now part of Hawksford)</t>
  </si>
  <si>
    <t xml:space="preserve">Поглощена Hawksford (2022); актуальность сайта не подтверждена; Hawksford уже представлен через Healy</t>
  </si>
  <si>
    <t xml:space="preserve">Biz Latin Hub (now part of Vistra / Vistra Latam)</t>
  </si>
  <si>
    <t xml:space="preserve">Поглощена Vistra (дек. 2025) — дублирует Vistra; фокус Латинская Америка</t>
  </si>
  <si>
    <t xml:space="preserve">Offshore Company Corp (offshorecompany.com)</t>
  </si>
  <si>
    <t xml:space="preserve">Не удалось ничего подтвердить по собственному сайту; заменена на Uniwide</t>
  </si>
  <si>
    <t xml:space="preserve">Startupr (startupr.com)</t>
  </si>
  <si>
    <t xml:space="preserve">Не удалось подтвердить, что компания действует: в индексе только старые страницы (2012)</t>
  </si>
  <si>
    <t xml:space="preserve">Prime Corporate Services (primecorporateservices.com)</t>
  </si>
  <si>
    <t xml:space="preserve">Домен принадлежит американской фирме из Юты (формирование компаний в США), а не кипрскому провайдеру</t>
  </si>
  <si>
    <t xml:space="preserve">Intercompany Solutions</t>
  </si>
  <si>
    <t xml:space="preserve">Регистрирует компании только в Нидерландах</t>
  </si>
  <si>
    <t xml:space="preserve">Emirabiz; Flyingcolour</t>
  </si>
  <si>
    <t xml:space="preserve">Регистрируют компании только в ОАЭ</t>
  </si>
  <si>
    <t xml:space="preserve">vzone.ae</t>
  </si>
  <si>
    <t xml:space="preserve">Посторонний сайт (вейп-шоп), не Virtuzone; правильный домен virtuzone.com</t>
  </si>
  <si>
    <t xml:space="preserve">Рейтинг перспективности: веса критериев (синие ячейки можно менять, рейтинг пересчитается)</t>
  </si>
  <si>
    <t xml:space="preserve">Критерий</t>
  </si>
  <si>
    <t xml:space="preserve">Вес</t>
  </si>
  <si>
    <t xml:space="preserve">Шкала</t>
  </si>
  <si>
    <t xml:space="preserve">Релевантность клиентской базы</t>
  </si>
  <si>
    <t xml:space="preserve">1–5</t>
  </si>
  <si>
    <t xml:space="preserve">Открытость к партнёрству</t>
  </si>
  <si>
    <t xml:space="preserve">Возможность по Молдове</t>
  </si>
  <si>
    <t xml:space="preserve">Доступность контактов</t>
  </si>
  <si>
    <t xml:space="preserve">Сумма весов</t>
  </si>
  <si>
    <t xml:space="preserve">Как читать «Возможность по Молдове»: 5 = Молдовы нет, но покрыты соседние рынки (Румыния, Украина, CEE) и компания работает через локальных партнёров; 3–4 = Молдова уже предлагается и, вероятно, нужен местный юрист.</t>
  </si>
  <si>
    <t xml:space="preserve">Группа A: в опубликованном каталоге Молдова отсутствует или не найдена. Группа B: Молдова уже предлагается.</t>
  </si>
  <si>
    <t xml:space="preserve">ОГРАНИЧЕНИЕ: сетевая политика среды исследования блокировала прямой доступ к сайтам компаний (HTTP 403 / DNS). Все факты взяты из поисковой выдачи по официальным доменам, URL источников указаны. Перед контактом откройте ссылки и сверьте данные. Контакты из сторонних каталогов помечены.</t>
  </si>
  <si>
    <t xml:space="preserve">Ничего не выдумано: если факт не подтверждён, стоит «not found» / «not verified». Письма НЕ отправлялись.</t>
  </si>
  <si>
    <t xml:space="preserve">Дата исследования: 2026-10-08.</t>
  </si>
</sst>
</file>

<file path=xl/styles.xml><?xml version="1.0" encoding="utf-8"?>
<styleSheet xmlns="http://schemas.openxmlformats.org/spreadsheetml/2006/main">
  <numFmts count="4">
    <numFmt numFmtId="164" formatCode="General"/>
    <numFmt numFmtId="165" formatCode="General"/>
    <numFmt numFmtId="166" formatCode="0.0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sz val="10"/>
      <color rgb="FF0000FF"/>
      <name val="Arial"/>
      <family val="0"/>
      <charset val="1"/>
    </font>
    <font>
      <b val="true"/>
      <sz val="10"/>
      <name val="Arial"/>
      <family val="0"/>
      <charset val="1"/>
    </font>
    <font>
      <sz val="10"/>
      <color rgb="FF008000"/>
      <name val="Arial"/>
      <family val="0"/>
      <charset val="1"/>
    </font>
    <font>
      <b val="true"/>
      <sz val="11"/>
      <color rgb="FFC00000"/>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top" textRotation="0" wrapText="true" indent="0" shrinkToFit="false"/>
      <protection locked="true" hidden="false"/>
    </xf>
    <xf numFmtId="166" fontId="9"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bgColor rgb="FFFFF2C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accace.com/" TargetMode="External"/><Relationship Id="rId2" Type="http://schemas.openxmlformats.org/officeDocument/2006/relationships/hyperlink" Target="https://bridgewest.eu/" TargetMode="External"/><Relationship Id="rId3" Type="http://schemas.openxmlformats.org/officeDocument/2006/relationships/hyperlink" Target="https://www.commitbiz.com/" TargetMode="External"/><Relationship Id="rId4" Type="http://schemas.openxmlformats.org/officeDocument/2006/relationships/hyperlink" Target="https://virtuzone.com/" TargetMode="External"/><Relationship Id="rId5" Type="http://schemas.openxmlformats.org/officeDocument/2006/relationships/hyperlink" Target="https://www.uniwide.com/" TargetMode="External"/><Relationship Id="rId6" Type="http://schemas.openxmlformats.org/officeDocument/2006/relationships/hyperlink" Target="https://www.healyconsultants.com/" TargetMode="External"/><Relationship Id="rId7" Type="http://schemas.openxmlformats.org/officeDocument/2006/relationships/hyperlink" Target="https://www.sovereigngroup.com/" TargetMode="External"/><Relationship Id="rId8" Type="http://schemas.openxmlformats.org/officeDocument/2006/relationships/hyperlink" Target="https://eurofast.eu/" TargetMode="External"/><Relationship Id="rId9" Type="http://schemas.openxmlformats.org/officeDocument/2006/relationships/hyperlink" Target="https://www.tmf-group.com/" TargetMode="External"/><Relationship Id="rId10" Type="http://schemas.openxmlformats.org/officeDocument/2006/relationships/hyperlink" Target="https://www.vistra.com/" TargetMode="External"/><Relationship Id="rId11" Type="http://schemas.openxmlformats.org/officeDocument/2006/relationships/hyperlink" Target="https://gsl.org/" TargetMode="External"/><Relationship Id="rId12" Type="http://schemas.openxmlformats.org/officeDocument/2006/relationships/hyperlink" Target="https://www.rizmona.com/" TargetMode="External"/><Relationship Id="rId13" Type="http://schemas.openxmlformats.org/officeDocument/2006/relationships/hyperlink" Target="https://www.tetraconsultants.com/" TargetMode="External"/><Relationship Id="rId14" Type="http://schemas.openxmlformats.org/officeDocument/2006/relationships/hyperlink" Target="https://www.shuraa.com/" TargetMode="External"/><Relationship Id="rId15" Type="http://schemas.openxmlformats.org/officeDocument/2006/relationships/hyperlink" Target="https://www.sfmoffshore.com/" TargetMode="External"/><Relationship Id="rId16" Type="http://schemas.openxmlformats.org/officeDocument/2006/relationships/hyperlink" Target="https://www.creationbc.com/" TargetMode="External"/><Relationship Id="rId17" Type="http://schemas.openxmlformats.org/officeDocument/2006/relationships/hyperlink" Target="https://avyanco.com/" TargetMode="External"/><Relationship Id="rId18" Type="http://schemas.openxmlformats.org/officeDocument/2006/relationships/hyperlink" Target="https://www.incorp.asia/" TargetMode="External"/><Relationship Id="rId19" Type="http://schemas.openxmlformats.org/officeDocument/2006/relationships/hyperlink" Target="https://sleek.com/" TargetMode="External"/><Relationship Id="rId20" Type="http://schemas.openxmlformats.org/officeDocument/2006/relationships/hyperlink" Target="https://iqeq.com/" TargetMode="External"/><Relationship Id="rId2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26"/>
    <col collapsed="false" customWidth="true" hidden="false" outlineLevel="0" max="4" min="4" style="0" width="16"/>
    <col collapsed="false" customWidth="true" hidden="false" outlineLevel="0" max="5" min="5" style="0" width="24"/>
    <col collapsed="false" customWidth="true" hidden="false" outlineLevel="0" max="6" min="6" style="0" width="20"/>
    <col collapsed="false" customWidth="true" hidden="false" outlineLevel="0" max="7" min="7" style="0" width="10"/>
    <col collapsed="false" customWidth="true" hidden="false" outlineLevel="0" max="8" min="8" style="0" width="12"/>
    <col collapsed="false" customWidth="true" hidden="false" outlineLevel="0" max="9" min="9" style="0" width="45"/>
    <col collapsed="false" customWidth="true" hidden="false" outlineLevel="0" max="10" min="10" style="0" width="35"/>
    <col collapsed="false" customWidth="true" hidden="false" outlineLevel="0" max="11" min="11" style="0" width="22"/>
    <col collapsed="false" customWidth="true" hidden="false" outlineLevel="0" max="13" min="12" style="0" width="35"/>
    <col collapsed="false" customWidth="true" hidden="false" outlineLevel="0" max="14" min="14" style="0" width="14"/>
    <col collapsed="false" customWidth="true" hidden="false" outlineLevel="0" max="15" min="15" style="0" width="45"/>
    <col collapsed="false" customWidth="true" hidden="false" outlineLevel="0" max="16" min="16" style="0" width="35"/>
    <col collapsed="false" customWidth="true" hidden="false" outlineLevel="0" max="17" min="17" style="0" width="26"/>
    <col collapsed="false" customWidth="true" hidden="false" outlineLevel="0" max="18" min="18" style="0" width="22"/>
    <col collapsed="false" customWidth="true" hidden="false" outlineLevel="0" max="20" min="19" style="0" width="30"/>
    <col collapsed="false" customWidth="true" hidden="false" outlineLevel="0" max="21" min="21" style="0" width="35"/>
    <col collapsed="false" customWidth="true" hidden="false" outlineLevel="0" max="22" min="22" style="0" width="50"/>
    <col collapsed="false" customWidth="true" hidden="false" outlineLevel="0" max="23" min="23" style="0" width="35"/>
    <col collapsed="false" customWidth="true" hidden="false" outlineLevel="0" max="24" min="24" style="0" width="30"/>
    <col collapsed="false" customWidth="true" hidden="false" outlineLevel="0" max="25" min="25" style="0" width="22"/>
    <col collapsed="false" customWidth="true" hidden="false" outlineLevel="0" max="26" min="26" style="0" width="8"/>
    <col collapsed="false" customWidth="true" hidden="false" outlineLevel="0" max="27" min="27" style="0" width="9"/>
    <col collapsed="false" customWidth="true" hidden="false" outlineLevel="0" max="28" min="28" style="0" width="8"/>
    <col collapsed="false" customWidth="true" hidden="false" outlineLevel="0" max="29" min="29" style="0" width="9"/>
    <col collapsed="false" customWidth="true" hidden="false" outlineLevel="0" max="30" min="30" style="0" width="8"/>
    <col collapsed="false" customWidth="true" hidden="false" outlineLevel="0" max="31" min="31" style="0" width="9"/>
  </cols>
  <sheetData>
    <row r="1" customFormat="false" ht="39.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ustomFormat="false" ht="102.2" hidden="false" customHeight="false" outlineLevel="0" collapsed="false">
      <c r="A2" s="2" t="n">
        <f aca="false">RANK(AE2,$AE$2:$AE$21)+COUNTIF($AE$2:AE2,AE2)-1</f>
        <v>1</v>
      </c>
      <c r="B2" s="2" t="str">
        <f aca="false">IF(A2&lt;=5,"TOP-5","")</f>
        <v>TOP-5</v>
      </c>
      <c r="C2" s="2" t="s">
        <v>31</v>
      </c>
      <c r="D2" s="2" t="s">
        <v>32</v>
      </c>
      <c r="E2" s="3" t="s">
        <v>33</v>
      </c>
      <c r="F2" s="2" t="s">
        <v>34</v>
      </c>
      <c r="G2" s="3" t="str">
        <f aca="false">IF(H2="Да","B","A")</f>
        <v>B</v>
      </c>
      <c r="H2" s="2" t="s">
        <v>35</v>
      </c>
      <c r="I2" s="2" t="s">
        <v>36</v>
      </c>
      <c r="J2" s="2" t="s">
        <v>37</v>
      </c>
      <c r="K2" s="2" t="s">
        <v>38</v>
      </c>
      <c r="L2" s="2" t="s">
        <v>39</v>
      </c>
      <c r="M2" s="2" t="s">
        <v>40</v>
      </c>
      <c r="N2" s="2" t="s">
        <v>35</v>
      </c>
      <c r="O2" s="2" t="s">
        <v>41</v>
      </c>
      <c r="P2" s="2" t="s">
        <v>42</v>
      </c>
      <c r="Q2" s="2" t="s">
        <v>43</v>
      </c>
      <c r="R2" s="2" t="s">
        <v>44</v>
      </c>
      <c r="S2" s="2" t="s">
        <v>45</v>
      </c>
      <c r="T2" s="2" t="s">
        <v>46</v>
      </c>
      <c r="U2" s="2" t="s">
        <v>47</v>
      </c>
      <c r="V2" s="2" t="s">
        <v>48</v>
      </c>
      <c r="W2" s="3"/>
      <c r="X2" s="2" t="s">
        <v>49</v>
      </c>
      <c r="Y2" s="2" t="s">
        <v>50</v>
      </c>
      <c r="Z2" s="4" t="n">
        <v>5</v>
      </c>
      <c r="AA2" s="4" t="n">
        <v>5</v>
      </c>
      <c r="AB2" s="4" t="n">
        <v>4</v>
      </c>
      <c r="AC2" s="4" t="n">
        <v>3</v>
      </c>
      <c r="AD2" s="4" t="n">
        <v>4</v>
      </c>
      <c r="AE2" s="5" t="n">
        <f aca="false">ROUND(Z2*Методика!$B$3+AA2*Методика!$B$4+AB2*Методика!$B$5+AC2*Методика!$B$6+AD2*Методика!$B$7,2)</f>
        <v>4.45</v>
      </c>
    </row>
    <row r="3" customFormat="false" ht="57.45" hidden="false" customHeight="false" outlineLevel="0" collapsed="false">
      <c r="A3" s="3" t="n">
        <f aca="false">RANK(AE3,$AE$2:$AE$21)+COUNTIF($AE$2:AE3,AE3)-1</f>
        <v>2</v>
      </c>
      <c r="B3" s="3" t="str">
        <f aca="false">IF(A3&lt;=5,"TOP-5","")</f>
        <v>TOP-5</v>
      </c>
      <c r="C3" s="2" t="s">
        <v>51</v>
      </c>
      <c r="D3" s="2" t="s">
        <v>52</v>
      </c>
      <c r="E3" s="3" t="s">
        <v>53</v>
      </c>
      <c r="F3" s="2" t="s">
        <v>54</v>
      </c>
      <c r="G3" s="3" t="str">
        <f aca="false">IF(H3="Да","B","A")</f>
        <v>B</v>
      </c>
      <c r="H3" s="2" t="s">
        <v>35</v>
      </c>
      <c r="I3" s="2" t="s">
        <v>55</v>
      </c>
      <c r="J3" s="2" t="s">
        <v>56</v>
      </c>
      <c r="K3" s="2" t="s">
        <v>57</v>
      </c>
      <c r="L3" s="2" t="s">
        <v>58</v>
      </c>
      <c r="M3" s="2" t="s">
        <v>59</v>
      </c>
      <c r="N3" s="2" t="s">
        <v>35</v>
      </c>
      <c r="O3" s="2" t="s">
        <v>60</v>
      </c>
      <c r="P3" s="2" t="s">
        <v>61</v>
      </c>
      <c r="Q3" s="2" t="s">
        <v>62</v>
      </c>
      <c r="R3" s="2" t="s">
        <v>63</v>
      </c>
      <c r="S3" s="2" t="s">
        <v>64</v>
      </c>
      <c r="T3" s="2" t="s">
        <v>65</v>
      </c>
      <c r="U3" s="2" t="s">
        <v>66</v>
      </c>
      <c r="V3" s="2" t="s">
        <v>67</v>
      </c>
      <c r="W3" s="3"/>
      <c r="X3" s="2" t="s">
        <v>68</v>
      </c>
      <c r="Y3" s="2" t="s">
        <v>50</v>
      </c>
      <c r="Z3" s="4" t="n">
        <v>5</v>
      </c>
      <c r="AA3" s="4" t="n">
        <v>5</v>
      </c>
      <c r="AB3" s="4" t="n">
        <v>4</v>
      </c>
      <c r="AC3" s="4" t="n">
        <v>4</v>
      </c>
      <c r="AD3" s="4" t="n">
        <v>2</v>
      </c>
      <c r="AE3" s="5" t="n">
        <f aca="false">ROUND(Z3*Методика!$B$3+AA3*Методика!$B$4+AB3*Методика!$B$5+AC3*Методика!$B$6+AD3*Методика!$B$7,2)</f>
        <v>4.35</v>
      </c>
    </row>
    <row r="4" customFormat="false" ht="102.2" hidden="false" customHeight="false" outlineLevel="0" collapsed="false">
      <c r="A4" s="3" t="n">
        <f aca="false">RANK(AE4,$AE$2:$AE$21)+COUNTIF($AE$2:AE4,AE4)-1</f>
        <v>3</v>
      </c>
      <c r="B4" s="3" t="str">
        <f aca="false">IF(A4&lt;=5,"TOP-5","")</f>
        <v>TOP-5</v>
      </c>
      <c r="C4" s="2" t="s">
        <v>69</v>
      </c>
      <c r="D4" s="2" t="s">
        <v>70</v>
      </c>
      <c r="E4" s="3" t="s">
        <v>71</v>
      </c>
      <c r="F4" s="2" t="s">
        <v>72</v>
      </c>
      <c r="G4" s="3" t="str">
        <f aca="false">IF(H4="Да","B","A")</f>
        <v>A</v>
      </c>
      <c r="H4" s="2" t="s">
        <v>73</v>
      </c>
      <c r="I4" s="2" t="s">
        <v>74</v>
      </c>
      <c r="J4" s="2" t="s">
        <v>75</v>
      </c>
      <c r="K4" s="2" t="s">
        <v>76</v>
      </c>
      <c r="L4" s="2" t="s">
        <v>77</v>
      </c>
      <c r="M4" s="2" t="s">
        <v>78</v>
      </c>
      <c r="N4" s="2" t="s">
        <v>35</v>
      </c>
      <c r="O4" s="2" t="s">
        <v>79</v>
      </c>
      <c r="P4" s="2" t="s">
        <v>80</v>
      </c>
      <c r="Q4" s="2" t="s">
        <v>81</v>
      </c>
      <c r="R4" s="2" t="s">
        <v>82</v>
      </c>
      <c r="S4" s="2" t="s">
        <v>83</v>
      </c>
      <c r="T4" s="2" t="s">
        <v>84</v>
      </c>
      <c r="U4" s="2" t="s">
        <v>83</v>
      </c>
      <c r="V4" s="2" t="s">
        <v>85</v>
      </c>
      <c r="W4" s="3"/>
      <c r="X4" s="2" t="s">
        <v>86</v>
      </c>
      <c r="Y4" s="2" t="s">
        <v>50</v>
      </c>
      <c r="Z4" s="4" t="n">
        <v>4</v>
      </c>
      <c r="AA4" s="4" t="n">
        <v>4</v>
      </c>
      <c r="AB4" s="4" t="n">
        <v>5</v>
      </c>
      <c r="AC4" s="4" t="n">
        <v>4</v>
      </c>
      <c r="AD4" s="4" t="n">
        <v>3</v>
      </c>
      <c r="AE4" s="5" t="n">
        <f aca="false">ROUND(Z4*Методика!$B$3+AA4*Методика!$B$4+AB4*Методика!$B$5+AC4*Методика!$B$6+AD4*Методика!$B$7,2)</f>
        <v>4.15</v>
      </c>
    </row>
    <row r="5" customFormat="false" ht="91" hidden="false" customHeight="false" outlineLevel="0" collapsed="false">
      <c r="A5" s="3" t="n">
        <f aca="false">RANK(AE5,$AE$2:$AE$21)+COUNTIF($AE$2:AE5,AE5)-1</f>
        <v>4</v>
      </c>
      <c r="B5" s="3" t="str">
        <f aca="false">IF(A5&lt;=5,"TOP-5","")</f>
        <v>TOP-5</v>
      </c>
      <c r="C5" s="2" t="s">
        <v>87</v>
      </c>
      <c r="D5" s="2" t="s">
        <v>70</v>
      </c>
      <c r="E5" s="3" t="s">
        <v>88</v>
      </c>
      <c r="F5" s="2" t="s">
        <v>89</v>
      </c>
      <c r="G5" s="3" t="str">
        <f aca="false">IF(H5="Да","B","A")</f>
        <v>A</v>
      </c>
      <c r="H5" s="2" t="s">
        <v>73</v>
      </c>
      <c r="I5" s="2" t="s">
        <v>90</v>
      </c>
      <c r="J5" s="2" t="s">
        <v>91</v>
      </c>
      <c r="K5" s="2" t="s">
        <v>92</v>
      </c>
      <c r="L5" s="2" t="s">
        <v>93</v>
      </c>
      <c r="M5" s="2" t="s">
        <v>94</v>
      </c>
      <c r="N5" s="2" t="s">
        <v>35</v>
      </c>
      <c r="O5" s="2" t="s">
        <v>95</v>
      </c>
      <c r="P5" s="2" t="s">
        <v>96</v>
      </c>
      <c r="Q5" s="2" t="s">
        <v>97</v>
      </c>
      <c r="R5" s="2" t="s">
        <v>98</v>
      </c>
      <c r="S5" s="2" t="s">
        <v>99</v>
      </c>
      <c r="T5" s="2" t="s">
        <v>100</v>
      </c>
      <c r="U5" s="2" t="s">
        <v>101</v>
      </c>
      <c r="V5" s="2" t="s">
        <v>102</v>
      </c>
      <c r="W5" s="2" t="s">
        <v>103</v>
      </c>
      <c r="X5" s="2" t="s">
        <v>104</v>
      </c>
      <c r="Y5" s="2" t="s">
        <v>50</v>
      </c>
      <c r="Z5" s="4" t="n">
        <v>4</v>
      </c>
      <c r="AA5" s="4" t="n">
        <v>4</v>
      </c>
      <c r="AB5" s="4" t="n">
        <v>4</v>
      </c>
      <c r="AC5" s="4" t="n">
        <v>4</v>
      </c>
      <c r="AD5" s="4" t="n">
        <v>5</v>
      </c>
      <c r="AE5" s="5" t="n">
        <f aca="false">ROUND(Z5*Методика!$B$3+AA5*Методика!$B$4+AB5*Методика!$B$5+AC5*Методика!$B$6+AD5*Методика!$B$7,2)</f>
        <v>4.1</v>
      </c>
    </row>
    <row r="6" customFormat="false" ht="91" hidden="false" customHeight="false" outlineLevel="0" collapsed="false">
      <c r="A6" s="3" t="n">
        <f aca="false">RANK(AE6,$AE$2:$AE$21)+COUNTIF($AE$2:AE6,AE6)-1</f>
        <v>5</v>
      </c>
      <c r="B6" s="3" t="str">
        <f aca="false">IF(A6&lt;=5,"TOP-5","")</f>
        <v>TOP-5</v>
      </c>
      <c r="C6" s="2" t="s">
        <v>105</v>
      </c>
      <c r="D6" s="2" t="s">
        <v>106</v>
      </c>
      <c r="E6" s="3" t="s">
        <v>107</v>
      </c>
      <c r="F6" s="2" t="s">
        <v>108</v>
      </c>
      <c r="G6" s="3" t="str">
        <f aca="false">IF(H6="Да","B","A")</f>
        <v>A</v>
      </c>
      <c r="H6" s="2" t="s">
        <v>109</v>
      </c>
      <c r="I6" s="2" t="s">
        <v>110</v>
      </c>
      <c r="J6" s="2" t="s">
        <v>111</v>
      </c>
      <c r="K6" s="2" t="s">
        <v>112</v>
      </c>
      <c r="L6" s="2" t="s">
        <v>113</v>
      </c>
      <c r="M6" s="2" t="s">
        <v>114</v>
      </c>
      <c r="N6" s="2" t="s">
        <v>35</v>
      </c>
      <c r="O6" s="2" t="s">
        <v>115</v>
      </c>
      <c r="P6" s="2" t="s">
        <v>116</v>
      </c>
      <c r="Q6" s="2" t="s">
        <v>117</v>
      </c>
      <c r="R6" s="2" t="s">
        <v>118</v>
      </c>
      <c r="S6" s="2" t="s">
        <v>119</v>
      </c>
      <c r="T6" s="2" t="s">
        <v>120</v>
      </c>
      <c r="U6" s="2" t="s">
        <v>121</v>
      </c>
      <c r="V6" s="2" t="s">
        <v>122</v>
      </c>
      <c r="W6" s="2" t="s">
        <v>123</v>
      </c>
      <c r="X6" s="2" t="s">
        <v>124</v>
      </c>
      <c r="Y6" s="2" t="s">
        <v>50</v>
      </c>
      <c r="Z6" s="4" t="n">
        <v>4</v>
      </c>
      <c r="AA6" s="4" t="n">
        <v>5</v>
      </c>
      <c r="AB6" s="4" t="n">
        <v>4</v>
      </c>
      <c r="AC6" s="4" t="n">
        <v>4</v>
      </c>
      <c r="AD6" s="4" t="n">
        <v>2</v>
      </c>
      <c r="AE6" s="5" t="n">
        <f aca="false">ROUND(Z6*Методика!$B$3+AA6*Методика!$B$4+AB6*Методика!$B$5+AC6*Методика!$B$6+AD6*Методика!$B$7,2)</f>
        <v>4.05</v>
      </c>
    </row>
    <row r="7" customFormat="false" ht="91" hidden="false" customHeight="false" outlineLevel="0" collapsed="false">
      <c r="A7" s="3" t="n">
        <f aca="false">RANK(AE7,$AE$2:$AE$21)+COUNTIF($AE$2:AE7,AE7)-1</f>
        <v>6</v>
      </c>
      <c r="B7" s="3" t="str">
        <f aca="false">IF(A7&lt;=5,"TOP-5","")</f>
        <v/>
      </c>
      <c r="C7" s="2" t="s">
        <v>125</v>
      </c>
      <c r="D7" s="2" t="s">
        <v>126</v>
      </c>
      <c r="E7" s="3" t="s">
        <v>127</v>
      </c>
      <c r="F7" s="2" t="s">
        <v>128</v>
      </c>
      <c r="G7" s="3" t="str">
        <f aca="false">IF(H7="Да","B","A")</f>
        <v>B</v>
      </c>
      <c r="H7" s="2" t="s">
        <v>35</v>
      </c>
      <c r="I7" s="2" t="s">
        <v>129</v>
      </c>
      <c r="J7" s="2" t="s">
        <v>130</v>
      </c>
      <c r="K7" s="2" t="s">
        <v>131</v>
      </c>
      <c r="L7" s="2" t="s">
        <v>132</v>
      </c>
      <c r="M7" s="2" t="s">
        <v>133</v>
      </c>
      <c r="N7" s="2" t="s">
        <v>134</v>
      </c>
      <c r="O7" s="2" t="s">
        <v>135</v>
      </c>
      <c r="P7" s="2" t="s">
        <v>136</v>
      </c>
      <c r="Q7" s="2" t="s">
        <v>137</v>
      </c>
      <c r="R7" s="2" t="s">
        <v>138</v>
      </c>
      <c r="S7" s="2" t="s">
        <v>139</v>
      </c>
      <c r="T7" s="2" t="s">
        <v>140</v>
      </c>
      <c r="U7" s="2" t="s">
        <v>141</v>
      </c>
      <c r="V7" s="2" t="s">
        <v>142</v>
      </c>
      <c r="W7" s="2" t="s">
        <v>143</v>
      </c>
      <c r="X7" s="2" t="s">
        <v>144</v>
      </c>
      <c r="Y7" s="2" t="s">
        <v>50</v>
      </c>
      <c r="Z7" s="4" t="n">
        <v>5</v>
      </c>
      <c r="AA7" s="4" t="n">
        <v>3</v>
      </c>
      <c r="AB7" s="4" t="n">
        <v>4</v>
      </c>
      <c r="AC7" s="4" t="n">
        <v>4</v>
      </c>
      <c r="AD7" s="4" t="n">
        <v>4</v>
      </c>
      <c r="AE7" s="5" t="n">
        <f aca="false">ROUND(Z7*Методика!$B$3+AA7*Методика!$B$4+AB7*Методика!$B$5+AC7*Методика!$B$6+AD7*Методика!$B$7,2)</f>
        <v>4.05</v>
      </c>
    </row>
    <row r="8" customFormat="false" ht="79.85" hidden="false" customHeight="false" outlineLevel="0" collapsed="false">
      <c r="A8" s="3" t="n">
        <f aca="false">RANK(AE8,$AE$2:$AE$21)+COUNTIF($AE$2:AE8,AE8)-1</f>
        <v>7</v>
      </c>
      <c r="B8" s="3" t="str">
        <f aca="false">IF(A8&lt;=5,"TOP-5","")</f>
        <v/>
      </c>
      <c r="C8" s="2" t="s">
        <v>145</v>
      </c>
      <c r="D8" s="2" t="s">
        <v>146</v>
      </c>
      <c r="E8" s="3" t="s">
        <v>147</v>
      </c>
      <c r="F8" s="2" t="s">
        <v>148</v>
      </c>
      <c r="G8" s="3" t="str">
        <f aca="false">IF(H8="Да","B","A")</f>
        <v>A</v>
      </c>
      <c r="H8" s="2" t="s">
        <v>73</v>
      </c>
      <c r="I8" s="2" t="s">
        <v>149</v>
      </c>
      <c r="J8" s="2" t="s">
        <v>150</v>
      </c>
      <c r="K8" s="2" t="s">
        <v>151</v>
      </c>
      <c r="L8" s="2" t="s">
        <v>152</v>
      </c>
      <c r="M8" s="2" t="s">
        <v>153</v>
      </c>
      <c r="N8" s="2" t="s">
        <v>134</v>
      </c>
      <c r="O8" s="2" t="s">
        <v>154</v>
      </c>
      <c r="P8" s="2" t="s">
        <v>155</v>
      </c>
      <c r="Q8" s="2" t="s">
        <v>156</v>
      </c>
      <c r="R8" s="2" t="s">
        <v>157</v>
      </c>
      <c r="S8" s="2" t="s">
        <v>158</v>
      </c>
      <c r="T8" s="2" t="s">
        <v>159</v>
      </c>
      <c r="U8" s="2" t="s">
        <v>160</v>
      </c>
      <c r="V8" s="2" t="s">
        <v>161</v>
      </c>
      <c r="W8" s="3"/>
      <c r="X8" s="2" t="s">
        <v>162</v>
      </c>
      <c r="Y8" s="2" t="s">
        <v>50</v>
      </c>
      <c r="Z8" s="4" t="n">
        <v>4</v>
      </c>
      <c r="AA8" s="4" t="n">
        <v>3</v>
      </c>
      <c r="AB8" s="4" t="n">
        <v>4</v>
      </c>
      <c r="AC8" s="4" t="n">
        <v>4</v>
      </c>
      <c r="AD8" s="4" t="n">
        <v>5</v>
      </c>
      <c r="AE8" s="5" t="n">
        <f aca="false">ROUND(Z8*Методика!$B$3+AA8*Методика!$B$4+AB8*Методика!$B$5+AC8*Методика!$B$6+AD8*Методика!$B$7,2)</f>
        <v>3.85</v>
      </c>
    </row>
    <row r="9" customFormat="false" ht="79.85" hidden="false" customHeight="false" outlineLevel="0" collapsed="false">
      <c r="A9" s="3" t="n">
        <f aca="false">RANK(AE9,$AE$2:$AE$21)+COUNTIF($AE$2:AE9,AE9)-1</f>
        <v>8</v>
      </c>
      <c r="B9" s="3" t="str">
        <f aca="false">IF(A9&lt;=5,"TOP-5","")</f>
        <v/>
      </c>
      <c r="C9" s="2" t="s">
        <v>163</v>
      </c>
      <c r="D9" s="2" t="s">
        <v>164</v>
      </c>
      <c r="E9" s="3" t="s">
        <v>165</v>
      </c>
      <c r="F9" s="2" t="s">
        <v>166</v>
      </c>
      <c r="G9" s="3" t="str">
        <f aca="false">IF(H9="Да","B","A")</f>
        <v>A</v>
      </c>
      <c r="H9" s="2" t="s">
        <v>73</v>
      </c>
      <c r="I9" s="2" t="s">
        <v>167</v>
      </c>
      <c r="J9" s="2" t="s">
        <v>168</v>
      </c>
      <c r="K9" s="2" t="s">
        <v>169</v>
      </c>
      <c r="L9" s="2" t="s">
        <v>170</v>
      </c>
      <c r="M9" s="2" t="s">
        <v>171</v>
      </c>
      <c r="N9" s="2" t="s">
        <v>172</v>
      </c>
      <c r="O9" s="2" t="s">
        <v>173</v>
      </c>
      <c r="P9" s="2" t="s">
        <v>174</v>
      </c>
      <c r="Q9" s="2" t="s">
        <v>175</v>
      </c>
      <c r="R9" s="2" t="s">
        <v>176</v>
      </c>
      <c r="S9" s="2" t="s">
        <v>65</v>
      </c>
      <c r="T9" s="2" t="s">
        <v>177</v>
      </c>
      <c r="U9" s="2" t="s">
        <v>178</v>
      </c>
      <c r="V9" s="2" t="s">
        <v>179</v>
      </c>
      <c r="W9" s="2" t="s">
        <v>180</v>
      </c>
      <c r="X9" s="2" t="s">
        <v>181</v>
      </c>
      <c r="Y9" s="2" t="s">
        <v>50</v>
      </c>
      <c r="Z9" s="4" t="n">
        <v>4</v>
      </c>
      <c r="AA9" s="4" t="n">
        <v>3</v>
      </c>
      <c r="AB9" s="4" t="n">
        <v>5</v>
      </c>
      <c r="AC9" s="4" t="n">
        <v>3</v>
      </c>
      <c r="AD9" s="4" t="n">
        <v>3</v>
      </c>
      <c r="AE9" s="5" t="n">
        <f aca="false">ROUND(Z9*Методика!$B$3+AA9*Методика!$B$4+AB9*Методика!$B$5+AC9*Методика!$B$6+AD9*Методика!$B$7,2)</f>
        <v>3.8</v>
      </c>
    </row>
    <row r="10" customFormat="false" ht="57.45" hidden="false" customHeight="false" outlineLevel="0" collapsed="false">
      <c r="A10" s="3" t="n">
        <f aca="false">RANK(AE10,$AE$2:$AE$21)+COUNTIF($AE$2:AE10,AE10)-1</f>
        <v>9</v>
      </c>
      <c r="B10" s="3" t="str">
        <f aca="false">IF(A10&lt;=5,"TOP-5","")</f>
        <v/>
      </c>
      <c r="C10" s="2" t="s">
        <v>182</v>
      </c>
      <c r="D10" s="2" t="s">
        <v>183</v>
      </c>
      <c r="E10" s="3" t="s">
        <v>184</v>
      </c>
      <c r="F10" s="2" t="s">
        <v>185</v>
      </c>
      <c r="G10" s="3" t="str">
        <f aca="false">IF(H10="Да","B","A")</f>
        <v>A</v>
      </c>
      <c r="H10" s="2" t="s">
        <v>73</v>
      </c>
      <c r="I10" s="2" t="s">
        <v>186</v>
      </c>
      <c r="J10" s="2" t="s">
        <v>187</v>
      </c>
      <c r="K10" s="2" t="s">
        <v>188</v>
      </c>
      <c r="L10" s="2" t="s">
        <v>189</v>
      </c>
      <c r="M10" s="2" t="s">
        <v>190</v>
      </c>
      <c r="N10" s="2" t="s">
        <v>134</v>
      </c>
      <c r="O10" s="2" t="s">
        <v>191</v>
      </c>
      <c r="P10" s="2" t="s">
        <v>192</v>
      </c>
      <c r="Q10" s="2" t="s">
        <v>117</v>
      </c>
      <c r="R10" s="2" t="s">
        <v>193</v>
      </c>
      <c r="S10" s="2" t="s">
        <v>65</v>
      </c>
      <c r="T10" s="2" t="s">
        <v>194</v>
      </c>
      <c r="U10" s="2" t="s">
        <v>195</v>
      </c>
      <c r="V10" s="2" t="s">
        <v>196</v>
      </c>
      <c r="W10" s="3"/>
      <c r="X10" s="2" t="s">
        <v>197</v>
      </c>
      <c r="Y10" s="2" t="s">
        <v>50</v>
      </c>
      <c r="Z10" s="4" t="n">
        <v>4</v>
      </c>
      <c r="AA10" s="4" t="n">
        <v>2</v>
      </c>
      <c r="AB10" s="4" t="n">
        <v>4</v>
      </c>
      <c r="AC10" s="4" t="n">
        <v>2</v>
      </c>
      <c r="AD10" s="4" t="n">
        <v>5</v>
      </c>
      <c r="AE10" s="5" t="n">
        <f aca="false">ROUND(Z10*Методика!$B$3+AA10*Методика!$B$4+AB10*Методика!$B$5+AC10*Методика!$B$6+AD10*Методика!$B$7,2)</f>
        <v>3.4</v>
      </c>
    </row>
    <row r="11" customFormat="false" ht="57.45" hidden="false" customHeight="false" outlineLevel="0" collapsed="false">
      <c r="A11" s="3" t="n">
        <f aca="false">RANK(AE11,$AE$2:$AE$21)+COUNTIF($AE$2:AE11,AE11)-1</f>
        <v>10</v>
      </c>
      <c r="B11" s="3" t="str">
        <f aca="false">IF(A11&lt;=5,"TOP-5","")</f>
        <v/>
      </c>
      <c r="C11" s="2" t="s">
        <v>198</v>
      </c>
      <c r="D11" s="2" t="s">
        <v>199</v>
      </c>
      <c r="E11" s="3" t="s">
        <v>200</v>
      </c>
      <c r="F11" s="2" t="s">
        <v>201</v>
      </c>
      <c r="G11" s="3" t="str">
        <f aca="false">IF(H11="Да","B","A")</f>
        <v>A</v>
      </c>
      <c r="H11" s="2" t="s">
        <v>73</v>
      </c>
      <c r="I11" s="2" t="s">
        <v>202</v>
      </c>
      <c r="J11" s="2" t="s">
        <v>117</v>
      </c>
      <c r="K11" s="2" t="s">
        <v>203</v>
      </c>
      <c r="L11" s="2" t="s">
        <v>204</v>
      </c>
      <c r="M11" s="2" t="s">
        <v>205</v>
      </c>
      <c r="N11" s="2" t="s">
        <v>134</v>
      </c>
      <c r="O11" s="2" t="s">
        <v>206</v>
      </c>
      <c r="P11" s="2" t="s">
        <v>207</v>
      </c>
      <c r="Q11" s="2" t="s">
        <v>208</v>
      </c>
      <c r="R11" s="2" t="s">
        <v>209</v>
      </c>
      <c r="S11" s="2" t="s">
        <v>210</v>
      </c>
      <c r="T11" s="2" t="s">
        <v>211</v>
      </c>
      <c r="U11" s="2" t="s">
        <v>212</v>
      </c>
      <c r="V11" s="2" t="s">
        <v>213</v>
      </c>
      <c r="W11" s="2" t="s">
        <v>214</v>
      </c>
      <c r="X11" s="2" t="s">
        <v>215</v>
      </c>
      <c r="Y11" s="2" t="s">
        <v>50</v>
      </c>
      <c r="Z11" s="4" t="n">
        <v>4</v>
      </c>
      <c r="AA11" s="4" t="n">
        <v>2</v>
      </c>
      <c r="AB11" s="4" t="n">
        <v>4</v>
      </c>
      <c r="AC11" s="4" t="n">
        <v>2</v>
      </c>
      <c r="AD11" s="4" t="n">
        <v>5</v>
      </c>
      <c r="AE11" s="5" t="n">
        <f aca="false">ROUND(Z11*Методика!$B$3+AA11*Методика!$B$4+AB11*Методика!$B$5+AC11*Методика!$B$6+AD11*Методика!$B$7,2)</f>
        <v>3.4</v>
      </c>
    </row>
    <row r="12" customFormat="false" ht="68.65" hidden="false" customHeight="false" outlineLevel="0" collapsed="false">
      <c r="A12" s="3" t="n">
        <f aca="false">RANK(AE12,$AE$2:$AE$21)+COUNTIF($AE$2:AE12,AE12)-1</f>
        <v>11</v>
      </c>
      <c r="B12" s="3" t="str">
        <f aca="false">IF(A12&lt;=5,"TOP-5","")</f>
        <v/>
      </c>
      <c r="C12" s="2" t="s">
        <v>216</v>
      </c>
      <c r="D12" s="2" t="s">
        <v>217</v>
      </c>
      <c r="E12" s="3" t="s">
        <v>218</v>
      </c>
      <c r="F12" s="2" t="s">
        <v>219</v>
      </c>
      <c r="G12" s="3" t="str">
        <f aca="false">IF(H12="Да","B","A")</f>
        <v>B</v>
      </c>
      <c r="H12" s="2" t="s">
        <v>35</v>
      </c>
      <c r="I12" s="2" t="s">
        <v>220</v>
      </c>
      <c r="J12" s="2" t="s">
        <v>221</v>
      </c>
      <c r="K12" s="2" t="s">
        <v>222</v>
      </c>
      <c r="L12" s="2" t="s">
        <v>223</v>
      </c>
      <c r="M12" s="2" t="s">
        <v>224</v>
      </c>
      <c r="N12" s="2" t="s">
        <v>134</v>
      </c>
      <c r="O12" s="2" t="s">
        <v>225</v>
      </c>
      <c r="P12" s="2" t="s">
        <v>226</v>
      </c>
      <c r="Q12" s="2" t="s">
        <v>227</v>
      </c>
      <c r="R12" s="2" t="s">
        <v>228</v>
      </c>
      <c r="S12" s="2" t="s">
        <v>229</v>
      </c>
      <c r="T12" s="2" t="s">
        <v>65</v>
      </c>
      <c r="U12" s="2" t="s">
        <v>230</v>
      </c>
      <c r="V12" s="2" t="s">
        <v>231</v>
      </c>
      <c r="W12" s="2" t="s">
        <v>232</v>
      </c>
      <c r="X12" s="2" t="s">
        <v>233</v>
      </c>
      <c r="Y12" s="2" t="s">
        <v>50</v>
      </c>
      <c r="Z12" s="4" t="n">
        <v>4</v>
      </c>
      <c r="AA12" s="4" t="n">
        <v>2</v>
      </c>
      <c r="AB12" s="4" t="n">
        <v>4</v>
      </c>
      <c r="AC12" s="4" t="n">
        <v>4</v>
      </c>
      <c r="AD12" s="4" t="n">
        <v>3</v>
      </c>
      <c r="AE12" s="5" t="n">
        <f aca="false">ROUND(Z12*Методика!$B$3+AA12*Методика!$B$4+AB12*Методика!$B$5+AC12*Методика!$B$6+AD12*Методика!$B$7,2)</f>
        <v>3.4</v>
      </c>
    </row>
    <row r="13" customFormat="false" ht="68.65" hidden="false" customHeight="false" outlineLevel="0" collapsed="false">
      <c r="A13" s="3" t="n">
        <f aca="false">RANK(AE13,$AE$2:$AE$21)+COUNTIF($AE$2:AE13,AE13)-1</f>
        <v>12</v>
      </c>
      <c r="B13" s="3" t="str">
        <f aca="false">IF(A13&lt;=5,"TOP-5","")</f>
        <v/>
      </c>
      <c r="C13" s="2" t="s">
        <v>234</v>
      </c>
      <c r="D13" s="2" t="s">
        <v>70</v>
      </c>
      <c r="E13" s="3" t="s">
        <v>235</v>
      </c>
      <c r="F13" s="2" t="s">
        <v>236</v>
      </c>
      <c r="G13" s="3" t="str">
        <f aca="false">IF(H13="Да","B","A")</f>
        <v>A</v>
      </c>
      <c r="H13" s="2" t="s">
        <v>73</v>
      </c>
      <c r="I13" s="2" t="s">
        <v>237</v>
      </c>
      <c r="J13" s="2" t="s">
        <v>238</v>
      </c>
      <c r="K13" s="2" t="s">
        <v>239</v>
      </c>
      <c r="L13" s="2" t="s">
        <v>240</v>
      </c>
      <c r="M13" s="2" t="s">
        <v>241</v>
      </c>
      <c r="N13" s="2" t="s">
        <v>134</v>
      </c>
      <c r="O13" s="2" t="s">
        <v>242</v>
      </c>
      <c r="P13" s="2" t="s">
        <v>243</v>
      </c>
      <c r="Q13" s="2" t="s">
        <v>244</v>
      </c>
      <c r="R13" s="2" t="s">
        <v>245</v>
      </c>
      <c r="S13" s="2" t="s">
        <v>246</v>
      </c>
      <c r="T13" s="2" t="s">
        <v>247</v>
      </c>
      <c r="U13" s="2" t="s">
        <v>248</v>
      </c>
      <c r="V13" s="2" t="s">
        <v>249</v>
      </c>
      <c r="W13" s="3"/>
      <c r="X13" s="2" t="s">
        <v>250</v>
      </c>
      <c r="Y13" s="2" t="s">
        <v>50</v>
      </c>
      <c r="Z13" s="4" t="n">
        <v>3</v>
      </c>
      <c r="AA13" s="4" t="n">
        <v>3</v>
      </c>
      <c r="AB13" s="4" t="n">
        <v>4</v>
      </c>
      <c r="AC13" s="4" t="n">
        <v>4</v>
      </c>
      <c r="AD13" s="4" t="n">
        <v>2</v>
      </c>
      <c r="AE13" s="5" t="n">
        <f aca="false">ROUND(Z13*Методика!$B$3+AA13*Методика!$B$4+AB13*Методика!$B$5+AC13*Методика!$B$6+AD13*Методика!$B$7,2)</f>
        <v>3.25</v>
      </c>
    </row>
    <row r="14" customFormat="false" ht="57.45" hidden="false" customHeight="false" outlineLevel="0" collapsed="false">
      <c r="A14" s="3" t="n">
        <f aca="false">RANK(AE14,$AE$2:$AE$21)+COUNTIF($AE$2:AE14,AE14)-1</f>
        <v>13</v>
      </c>
      <c r="B14" s="3" t="str">
        <f aca="false">IF(A14&lt;=5,"TOP-5","")</f>
        <v/>
      </c>
      <c r="C14" s="2" t="s">
        <v>251</v>
      </c>
      <c r="D14" s="2" t="s">
        <v>252</v>
      </c>
      <c r="E14" s="3" t="s">
        <v>253</v>
      </c>
      <c r="F14" s="2" t="s">
        <v>254</v>
      </c>
      <c r="G14" s="3" t="str">
        <f aca="false">IF(H14="Да","B","A")</f>
        <v>A</v>
      </c>
      <c r="H14" s="2" t="s">
        <v>109</v>
      </c>
      <c r="I14" s="2" t="s">
        <v>255</v>
      </c>
      <c r="J14" s="2" t="s">
        <v>256</v>
      </c>
      <c r="K14" s="2" t="s">
        <v>257</v>
      </c>
      <c r="L14" s="2" t="s">
        <v>258</v>
      </c>
      <c r="M14" s="2" t="s">
        <v>259</v>
      </c>
      <c r="N14" s="2" t="s">
        <v>134</v>
      </c>
      <c r="O14" s="2" t="s">
        <v>260</v>
      </c>
      <c r="P14" s="2" t="s">
        <v>117</v>
      </c>
      <c r="Q14" s="2" t="s">
        <v>261</v>
      </c>
      <c r="R14" s="2" t="s">
        <v>262</v>
      </c>
      <c r="S14" s="2" t="s">
        <v>263</v>
      </c>
      <c r="T14" s="2" t="s">
        <v>264</v>
      </c>
      <c r="U14" s="2" t="s">
        <v>265</v>
      </c>
      <c r="V14" s="2" t="s">
        <v>266</v>
      </c>
      <c r="W14" s="3"/>
      <c r="X14" s="2" t="s">
        <v>267</v>
      </c>
      <c r="Y14" s="2" t="s">
        <v>50</v>
      </c>
      <c r="Z14" s="4" t="n">
        <v>4</v>
      </c>
      <c r="AA14" s="4" t="n">
        <v>2</v>
      </c>
      <c r="AB14" s="4" t="n">
        <v>3</v>
      </c>
      <c r="AC14" s="4" t="n">
        <v>3</v>
      </c>
      <c r="AD14" s="4" t="n">
        <v>3</v>
      </c>
      <c r="AE14" s="5" t="n">
        <f aca="false">ROUND(Z14*Методика!$B$3+AA14*Методика!$B$4+AB14*Методика!$B$5+AC14*Методика!$B$6+AD14*Методика!$B$7,2)</f>
        <v>3.05</v>
      </c>
    </row>
    <row r="15" customFormat="false" ht="68.65" hidden="false" customHeight="false" outlineLevel="0" collapsed="false">
      <c r="A15" s="3" t="n">
        <f aca="false">RANK(AE15,$AE$2:$AE$21)+COUNTIF($AE$2:AE15,AE15)-1</f>
        <v>14</v>
      </c>
      <c r="B15" s="3" t="str">
        <f aca="false">IF(A15&lt;=5,"TOP-5","")</f>
        <v/>
      </c>
      <c r="C15" s="2" t="s">
        <v>268</v>
      </c>
      <c r="D15" s="2" t="s">
        <v>70</v>
      </c>
      <c r="E15" s="3" t="s">
        <v>269</v>
      </c>
      <c r="F15" s="2" t="s">
        <v>270</v>
      </c>
      <c r="G15" s="3" t="str">
        <f aca="false">IF(H15="Да","B","A")</f>
        <v>A</v>
      </c>
      <c r="H15" s="2" t="s">
        <v>73</v>
      </c>
      <c r="I15" s="2" t="s">
        <v>271</v>
      </c>
      <c r="J15" s="2" t="s">
        <v>272</v>
      </c>
      <c r="K15" s="2" t="s">
        <v>273</v>
      </c>
      <c r="L15" s="2" t="s">
        <v>274</v>
      </c>
      <c r="M15" s="2" t="s">
        <v>275</v>
      </c>
      <c r="N15" s="2" t="s">
        <v>35</v>
      </c>
      <c r="O15" s="2" t="s">
        <v>276</v>
      </c>
      <c r="P15" s="2" t="s">
        <v>277</v>
      </c>
      <c r="Q15" s="2" t="s">
        <v>278</v>
      </c>
      <c r="R15" s="2" t="s">
        <v>279</v>
      </c>
      <c r="S15" s="2" t="s">
        <v>280</v>
      </c>
      <c r="T15" s="2" t="s">
        <v>281</v>
      </c>
      <c r="U15" s="2" t="s">
        <v>280</v>
      </c>
      <c r="V15" s="2" t="s">
        <v>282</v>
      </c>
      <c r="W15" s="3"/>
      <c r="X15" s="2" t="s">
        <v>283</v>
      </c>
      <c r="Y15" s="2" t="s">
        <v>50</v>
      </c>
      <c r="Z15" s="4" t="n">
        <v>2</v>
      </c>
      <c r="AA15" s="4" t="n">
        <v>3</v>
      </c>
      <c r="AB15" s="4" t="n">
        <v>2</v>
      </c>
      <c r="AC15" s="4" t="n">
        <v>4</v>
      </c>
      <c r="AD15" s="4" t="n">
        <v>5</v>
      </c>
      <c r="AE15" s="5" t="n">
        <f aca="false">ROUND(Z15*Методика!$B$3+AA15*Методика!$B$4+AB15*Методика!$B$5+AC15*Методика!$B$6+AD15*Методика!$B$7,2)</f>
        <v>2.75</v>
      </c>
    </row>
    <row r="16" customFormat="false" ht="79.85" hidden="false" customHeight="false" outlineLevel="0" collapsed="false">
      <c r="A16" s="3" t="n">
        <f aca="false">RANK(AE16,$AE$2:$AE$21)+COUNTIF($AE$2:AE16,AE16)-1</f>
        <v>15</v>
      </c>
      <c r="B16" s="3" t="str">
        <f aca="false">IF(A16&lt;=5,"TOP-5","")</f>
        <v/>
      </c>
      <c r="C16" s="2" t="s">
        <v>284</v>
      </c>
      <c r="D16" s="2" t="s">
        <v>285</v>
      </c>
      <c r="E16" s="3" t="s">
        <v>286</v>
      </c>
      <c r="F16" s="2" t="s">
        <v>287</v>
      </c>
      <c r="G16" s="3" t="str">
        <f aca="false">IF(H16="Да","B","A")</f>
        <v>A</v>
      </c>
      <c r="H16" s="2" t="s">
        <v>109</v>
      </c>
      <c r="I16" s="2" t="s">
        <v>288</v>
      </c>
      <c r="J16" s="2" t="s">
        <v>289</v>
      </c>
      <c r="K16" s="2" t="s">
        <v>290</v>
      </c>
      <c r="L16" s="2" t="s">
        <v>291</v>
      </c>
      <c r="M16" s="2" t="s">
        <v>292</v>
      </c>
      <c r="N16" s="2" t="s">
        <v>134</v>
      </c>
      <c r="O16" s="2" t="s">
        <v>293</v>
      </c>
      <c r="P16" s="2" t="s">
        <v>117</v>
      </c>
      <c r="Q16" s="2" t="s">
        <v>65</v>
      </c>
      <c r="R16" s="2" t="s">
        <v>65</v>
      </c>
      <c r="S16" s="2" t="s">
        <v>65</v>
      </c>
      <c r="T16" s="2" t="s">
        <v>294</v>
      </c>
      <c r="U16" s="2" t="s">
        <v>295</v>
      </c>
      <c r="V16" s="2" t="s">
        <v>296</v>
      </c>
      <c r="W16" s="3"/>
      <c r="X16" s="2" t="s">
        <v>297</v>
      </c>
      <c r="Y16" s="2" t="s">
        <v>50</v>
      </c>
      <c r="Z16" s="4" t="n">
        <v>3</v>
      </c>
      <c r="AA16" s="4" t="n">
        <v>2</v>
      </c>
      <c r="AB16" s="4" t="n">
        <v>3</v>
      </c>
      <c r="AC16" s="4" t="n">
        <v>2</v>
      </c>
      <c r="AD16" s="4" t="n">
        <v>3</v>
      </c>
      <c r="AE16" s="5" t="n">
        <f aca="false">ROUND(Z16*Методика!$B$3+AA16*Методика!$B$4+AB16*Методика!$B$5+AC16*Методика!$B$6+AD16*Методика!$B$7,2)</f>
        <v>2.65</v>
      </c>
    </row>
    <row r="17" customFormat="false" ht="79.85" hidden="false" customHeight="false" outlineLevel="0" collapsed="false">
      <c r="A17" s="3" t="n">
        <f aca="false">RANK(AE17,$AE$2:$AE$21)+COUNTIF($AE$2:AE17,AE17)-1</f>
        <v>16</v>
      </c>
      <c r="B17" s="3" t="str">
        <f aca="false">IF(A17&lt;=5,"TOP-5","")</f>
        <v/>
      </c>
      <c r="C17" s="2" t="s">
        <v>298</v>
      </c>
      <c r="D17" s="2" t="s">
        <v>70</v>
      </c>
      <c r="E17" s="3" t="s">
        <v>299</v>
      </c>
      <c r="F17" s="2" t="s">
        <v>300</v>
      </c>
      <c r="G17" s="3" t="str">
        <f aca="false">IF(H17="Да","B","A")</f>
        <v>A</v>
      </c>
      <c r="H17" s="2" t="s">
        <v>73</v>
      </c>
      <c r="I17" s="2" t="s">
        <v>301</v>
      </c>
      <c r="J17" s="2" t="s">
        <v>302</v>
      </c>
      <c r="K17" s="2" t="s">
        <v>303</v>
      </c>
      <c r="L17" s="2" t="s">
        <v>304</v>
      </c>
      <c r="M17" s="2" t="s">
        <v>302</v>
      </c>
      <c r="N17" s="2" t="s">
        <v>134</v>
      </c>
      <c r="O17" s="2" t="s">
        <v>305</v>
      </c>
      <c r="P17" s="2" t="s">
        <v>117</v>
      </c>
      <c r="Q17" s="2" t="s">
        <v>306</v>
      </c>
      <c r="R17" s="2" t="s">
        <v>307</v>
      </c>
      <c r="S17" s="2" t="s">
        <v>308</v>
      </c>
      <c r="T17" s="2" t="s">
        <v>309</v>
      </c>
      <c r="U17" s="2" t="s">
        <v>310</v>
      </c>
      <c r="V17" s="2" t="s">
        <v>311</v>
      </c>
      <c r="W17" s="3"/>
      <c r="X17" s="2" t="s">
        <v>312</v>
      </c>
      <c r="Y17" s="2" t="s">
        <v>50</v>
      </c>
      <c r="Z17" s="4" t="n">
        <v>3</v>
      </c>
      <c r="AA17" s="4" t="n">
        <v>2</v>
      </c>
      <c r="AB17" s="4" t="n">
        <v>2</v>
      </c>
      <c r="AC17" s="4" t="n">
        <v>4</v>
      </c>
      <c r="AD17" s="4" t="n">
        <v>3</v>
      </c>
      <c r="AE17" s="5" t="n">
        <f aca="false">ROUND(Z17*Методика!$B$3+AA17*Методика!$B$4+AB17*Методика!$B$5+AC17*Методика!$B$6+AD17*Методика!$B$7,2)</f>
        <v>2.6</v>
      </c>
    </row>
    <row r="18" customFormat="false" ht="79.85" hidden="false" customHeight="false" outlineLevel="0" collapsed="false">
      <c r="A18" s="3" t="n">
        <f aca="false">RANK(AE18,$AE$2:$AE$21)+COUNTIF($AE$2:AE18,AE18)-1</f>
        <v>17</v>
      </c>
      <c r="B18" s="3" t="str">
        <f aca="false">IF(A18&lt;=5,"TOP-5","")</f>
        <v/>
      </c>
      <c r="C18" s="2" t="s">
        <v>313</v>
      </c>
      <c r="D18" s="2" t="s">
        <v>70</v>
      </c>
      <c r="E18" s="3" t="s">
        <v>314</v>
      </c>
      <c r="F18" s="2" t="s">
        <v>315</v>
      </c>
      <c r="G18" s="3" t="str">
        <f aca="false">IF(H18="Да","B","A")</f>
        <v>A</v>
      </c>
      <c r="H18" s="2" t="s">
        <v>73</v>
      </c>
      <c r="I18" s="2" t="s">
        <v>316</v>
      </c>
      <c r="J18" s="2" t="s">
        <v>317</v>
      </c>
      <c r="K18" s="2" t="s">
        <v>318</v>
      </c>
      <c r="L18" s="2" t="s">
        <v>319</v>
      </c>
      <c r="M18" s="2" t="s">
        <v>320</v>
      </c>
      <c r="N18" s="2" t="s">
        <v>134</v>
      </c>
      <c r="O18" s="2" t="s">
        <v>321</v>
      </c>
      <c r="P18" s="2" t="s">
        <v>117</v>
      </c>
      <c r="Q18" s="2" t="s">
        <v>322</v>
      </c>
      <c r="R18" s="2" t="s">
        <v>323</v>
      </c>
      <c r="S18" s="2" t="s">
        <v>324</v>
      </c>
      <c r="T18" s="2" t="s">
        <v>325</v>
      </c>
      <c r="U18" s="2" t="s">
        <v>326</v>
      </c>
      <c r="V18" s="2" t="s">
        <v>327</v>
      </c>
      <c r="W18" s="3"/>
      <c r="X18" s="2" t="s">
        <v>328</v>
      </c>
      <c r="Y18" s="2" t="s">
        <v>50</v>
      </c>
      <c r="Z18" s="4" t="n">
        <v>2</v>
      </c>
      <c r="AA18" s="4" t="n">
        <v>2</v>
      </c>
      <c r="AB18" s="4" t="n">
        <v>3</v>
      </c>
      <c r="AC18" s="4" t="n">
        <v>4</v>
      </c>
      <c r="AD18" s="4" t="n">
        <v>2</v>
      </c>
      <c r="AE18" s="5" t="n">
        <f aca="false">ROUND(Z18*Методика!$B$3+AA18*Методика!$B$4+AB18*Методика!$B$5+AC18*Методика!$B$6+AD18*Методика!$B$7,2)</f>
        <v>2.45</v>
      </c>
    </row>
    <row r="19" customFormat="false" ht="57.45" hidden="false" customHeight="false" outlineLevel="0" collapsed="false">
      <c r="A19" s="3" t="n">
        <f aca="false">RANK(AE19,$AE$2:$AE$21)+COUNTIF($AE$2:AE19,AE19)-1</f>
        <v>18</v>
      </c>
      <c r="B19" s="3" t="str">
        <f aca="false">IF(A19&lt;=5,"TOP-5","")</f>
        <v/>
      </c>
      <c r="C19" s="2" t="s">
        <v>329</v>
      </c>
      <c r="D19" s="2" t="s">
        <v>252</v>
      </c>
      <c r="E19" s="3" t="s">
        <v>330</v>
      </c>
      <c r="F19" s="2" t="s">
        <v>331</v>
      </c>
      <c r="G19" s="3" t="str">
        <f aca="false">IF(H19="Да","B","A")</f>
        <v>A</v>
      </c>
      <c r="H19" s="2" t="s">
        <v>73</v>
      </c>
      <c r="I19" s="2" t="s">
        <v>332</v>
      </c>
      <c r="J19" s="2" t="s">
        <v>333</v>
      </c>
      <c r="K19" s="2" t="s">
        <v>334</v>
      </c>
      <c r="L19" s="2" t="s">
        <v>335</v>
      </c>
      <c r="M19" s="2" t="s">
        <v>336</v>
      </c>
      <c r="N19" s="2" t="s">
        <v>134</v>
      </c>
      <c r="O19" s="2" t="s">
        <v>337</v>
      </c>
      <c r="P19" s="2" t="s">
        <v>338</v>
      </c>
      <c r="Q19" s="2" t="s">
        <v>117</v>
      </c>
      <c r="R19" s="2" t="s">
        <v>339</v>
      </c>
      <c r="S19" s="2" t="s">
        <v>340</v>
      </c>
      <c r="T19" s="2" t="s">
        <v>341</v>
      </c>
      <c r="U19" s="2" t="s">
        <v>342</v>
      </c>
      <c r="V19" s="2" t="s">
        <v>343</v>
      </c>
      <c r="W19" s="2" t="s">
        <v>344</v>
      </c>
      <c r="X19" s="2" t="s">
        <v>345</v>
      </c>
      <c r="Y19" s="2" t="s">
        <v>50</v>
      </c>
      <c r="Z19" s="4" t="n">
        <v>2</v>
      </c>
      <c r="AA19" s="4" t="n">
        <v>2</v>
      </c>
      <c r="AB19" s="4" t="n">
        <v>2</v>
      </c>
      <c r="AC19" s="4" t="n">
        <v>3</v>
      </c>
      <c r="AD19" s="4" t="n">
        <v>4</v>
      </c>
      <c r="AE19" s="5" t="n">
        <f aca="false">ROUND(Z19*Методика!$B$3+AA19*Методика!$B$4+AB19*Методика!$B$5+AC19*Методика!$B$6+AD19*Методика!$B$7,2)</f>
        <v>2.3</v>
      </c>
    </row>
    <row r="20" customFormat="false" ht="57.45" hidden="false" customHeight="false" outlineLevel="0" collapsed="false">
      <c r="A20" s="3" t="n">
        <f aca="false">RANK(AE20,$AE$2:$AE$21)+COUNTIF($AE$2:AE20,AE20)-1</f>
        <v>19</v>
      </c>
      <c r="B20" s="3" t="str">
        <f aca="false">IF(A20&lt;=5,"TOP-5","")</f>
        <v/>
      </c>
      <c r="C20" s="2" t="s">
        <v>346</v>
      </c>
      <c r="D20" s="2" t="s">
        <v>252</v>
      </c>
      <c r="E20" s="3" t="s">
        <v>347</v>
      </c>
      <c r="F20" s="2" t="s">
        <v>348</v>
      </c>
      <c r="G20" s="3" t="str">
        <f aca="false">IF(H20="Да","B","A")</f>
        <v>A</v>
      </c>
      <c r="H20" s="2" t="s">
        <v>73</v>
      </c>
      <c r="I20" s="2" t="s">
        <v>349</v>
      </c>
      <c r="J20" s="2" t="s">
        <v>117</v>
      </c>
      <c r="K20" s="2" t="s">
        <v>350</v>
      </c>
      <c r="L20" s="2" t="s">
        <v>351</v>
      </c>
      <c r="M20" s="2" t="s">
        <v>352</v>
      </c>
      <c r="N20" s="2" t="s">
        <v>35</v>
      </c>
      <c r="O20" s="2" t="s">
        <v>353</v>
      </c>
      <c r="P20" s="2" t="s">
        <v>354</v>
      </c>
      <c r="Q20" s="2" t="s">
        <v>355</v>
      </c>
      <c r="R20" s="2" t="s">
        <v>356</v>
      </c>
      <c r="S20" s="2" t="s">
        <v>357</v>
      </c>
      <c r="T20" s="2" t="s">
        <v>117</v>
      </c>
      <c r="U20" s="2" t="s">
        <v>358</v>
      </c>
      <c r="V20" s="2" t="s">
        <v>359</v>
      </c>
      <c r="W20" s="3"/>
      <c r="X20" s="2" t="s">
        <v>360</v>
      </c>
      <c r="Y20" s="2" t="s">
        <v>50</v>
      </c>
      <c r="Z20" s="4" t="n">
        <v>2</v>
      </c>
      <c r="AA20" s="4" t="n">
        <v>3</v>
      </c>
      <c r="AB20" s="4" t="n">
        <v>1</v>
      </c>
      <c r="AC20" s="4" t="n">
        <v>4</v>
      </c>
      <c r="AD20" s="4" t="n">
        <v>3</v>
      </c>
      <c r="AE20" s="5" t="n">
        <f aca="false">ROUND(Z20*Методика!$B$3+AA20*Методика!$B$4+AB20*Методика!$B$5+AC20*Методика!$B$6+AD20*Методика!$B$7,2)</f>
        <v>2.3</v>
      </c>
    </row>
    <row r="21" customFormat="false" ht="46.25" hidden="false" customHeight="false" outlineLevel="0" collapsed="false">
      <c r="A21" s="3" t="n">
        <f aca="false">RANK(AE21,$AE$2:$AE$21)+COUNTIF($AE$2:AE21,AE21)-1</f>
        <v>20</v>
      </c>
      <c r="B21" s="3" t="str">
        <f aca="false">IF(A21&lt;=5,"TOP-5","")</f>
        <v/>
      </c>
      <c r="C21" s="2" t="s">
        <v>361</v>
      </c>
      <c r="D21" s="2" t="s">
        <v>362</v>
      </c>
      <c r="E21" s="3" t="s">
        <v>363</v>
      </c>
      <c r="F21" s="2" t="s">
        <v>364</v>
      </c>
      <c r="G21" s="3" t="str">
        <f aca="false">IF(H21="Да","B","A")</f>
        <v>A</v>
      </c>
      <c r="H21" s="2" t="s">
        <v>73</v>
      </c>
      <c r="I21" s="2" t="s">
        <v>365</v>
      </c>
      <c r="J21" s="2" t="s">
        <v>366</v>
      </c>
      <c r="K21" s="2" t="s">
        <v>367</v>
      </c>
      <c r="L21" s="2" t="s">
        <v>368</v>
      </c>
      <c r="M21" s="2" t="s">
        <v>369</v>
      </c>
      <c r="N21" s="2" t="s">
        <v>134</v>
      </c>
      <c r="O21" s="2" t="s">
        <v>370</v>
      </c>
      <c r="P21" s="2" t="s">
        <v>117</v>
      </c>
      <c r="Q21" s="2" t="s">
        <v>117</v>
      </c>
      <c r="R21" s="2" t="s">
        <v>371</v>
      </c>
      <c r="S21" s="2" t="s">
        <v>372</v>
      </c>
      <c r="T21" s="2" t="s">
        <v>373</v>
      </c>
      <c r="U21" s="2" t="s">
        <v>374</v>
      </c>
      <c r="V21" s="2" t="s">
        <v>375</v>
      </c>
      <c r="W21" s="3"/>
      <c r="X21" s="2" t="s">
        <v>376</v>
      </c>
      <c r="Y21" s="2" t="s">
        <v>50</v>
      </c>
      <c r="Z21" s="4" t="n">
        <v>2</v>
      </c>
      <c r="AA21" s="4" t="n">
        <v>1</v>
      </c>
      <c r="AB21" s="4" t="n">
        <v>2</v>
      </c>
      <c r="AC21" s="4" t="n">
        <v>2</v>
      </c>
      <c r="AD21" s="4" t="n">
        <v>4</v>
      </c>
      <c r="AE21" s="5" t="n">
        <f aca="false">ROUND(Z21*Методика!$B$3+AA21*Методика!$B$4+AB21*Методика!$B$5+AC21*Методика!$B$6+AD21*Методика!$B$7,2)</f>
        <v>1.95</v>
      </c>
    </row>
  </sheetData>
  <autoFilter ref="A1:AE21"/>
  <conditionalFormatting sqref="A2:AE21">
    <cfRule type="expression" priority="2" aboveAverage="0" equalAverage="0" bottom="0" percent="0" rank="0" text="" dxfId="5">
      <formula>$A2&lt;=5</formula>
    </cfRule>
  </conditionalFormatting>
  <hyperlinks>
    <hyperlink ref="E2" r:id="rId1" display="https://accace.com"/>
    <hyperlink ref="E3" r:id="rId2" display="https://bridgewest.eu"/>
    <hyperlink ref="E4" r:id="rId3" display="https://www.commitbiz.com"/>
    <hyperlink ref="E5" r:id="rId4" display="https://virtuzone.com"/>
    <hyperlink ref="E6" r:id="rId5" display="https://www.uniwide.com"/>
    <hyperlink ref="E7" r:id="rId6" display="https://www.healyconsultants.com"/>
    <hyperlink ref="E8" r:id="rId7" display="https://www.sovereigngroup.com"/>
    <hyperlink ref="E9" r:id="rId8" display="https://eurofast.eu"/>
    <hyperlink ref="E10" r:id="rId9" display="https://www.tmf-group.com"/>
    <hyperlink ref="E11" r:id="rId10" display="https://www.vistra.com"/>
    <hyperlink ref="E12" r:id="rId11" display="https://gsl.org"/>
    <hyperlink ref="E13" r:id="rId12" display="https://www.rizmona.com"/>
    <hyperlink ref="E14" r:id="rId13" display="https://www.tetraconsultants.com"/>
    <hyperlink ref="E15" r:id="rId14" display="https://www.shuraa.com"/>
    <hyperlink ref="E16" r:id="rId15" display="https://www.sfmoffshore.com"/>
    <hyperlink ref="E17" r:id="rId16" display="https://www.creationbc.com"/>
    <hyperlink ref="E18" r:id="rId17" display="https://avyanco.com"/>
    <hyperlink ref="E19" r:id="rId18" display="https://www.incorp.asia"/>
    <hyperlink ref="E20" r:id="rId19" display="https://sleek.com"/>
    <hyperlink ref="E21" r:id="rId20" display="https://iqeq.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26"/>
    <col collapsed="false" customWidth="true" hidden="false" outlineLevel="0" max="4" min="4" style="0" width="12"/>
    <col collapsed="false" customWidth="true" hidden="false" outlineLevel="0" max="6" min="5" style="0" width="60"/>
    <col collapsed="false" customWidth="true" hidden="false" outlineLevel="0" max="7" min="7" style="0" width="26"/>
    <col collapsed="false" customWidth="true" hidden="false" outlineLevel="0" max="8" min="8" style="0" width="22"/>
    <col collapsed="false" customWidth="true" hidden="false" outlineLevel="0" max="9" min="9" style="0" width="9"/>
  </cols>
  <sheetData>
    <row r="1" customFormat="false" ht="15" hidden="false" customHeight="false" outlineLevel="0" collapsed="false">
      <c r="A1" s="6" t="s">
        <v>377</v>
      </c>
    </row>
    <row r="2" customFormat="false" ht="15" hidden="false" customHeight="false" outlineLevel="0" collapsed="false">
      <c r="A2" s="7" t="s">
        <v>0</v>
      </c>
      <c r="B2" s="7" t="s">
        <v>2</v>
      </c>
      <c r="C2" s="7" t="s">
        <v>4</v>
      </c>
      <c r="D2" s="7" t="s">
        <v>27</v>
      </c>
      <c r="E2" s="7" t="s">
        <v>378</v>
      </c>
      <c r="F2" s="7" t="s">
        <v>13</v>
      </c>
      <c r="G2" s="7" t="s">
        <v>16</v>
      </c>
      <c r="H2" s="7" t="s">
        <v>17</v>
      </c>
      <c r="I2" s="7" t="s">
        <v>30</v>
      </c>
    </row>
    <row r="3" customFormat="false" ht="46.25" hidden="false" customHeight="false" outlineLevel="0" collapsed="false">
      <c r="A3" s="8" t="n">
        <f aca="false">Рейтинг!A4</f>
        <v>3</v>
      </c>
      <c r="B3" s="8" t="str">
        <f aca="false">Рейтинг!C4</f>
        <v>Commitbiz</v>
      </c>
      <c r="C3" s="8" t="str">
        <f aca="false">Рейтинг!E4</f>
        <v>https://www.commitbiz.com</v>
      </c>
      <c r="D3" s="8" t="str">
        <f aca="false">Рейтинг!H4</f>
        <v>Нет</v>
      </c>
      <c r="E3" s="8" t="str">
        <f aca="false">Рейтинг!I4&amp;" | "&amp;Рейтинг!J4</f>
        <v>Site search for Moldova only returned UAE double-tax-treaty lists that include Moldova; no Moldova formation page. Notably lists an office in Bucharest, Romania (Moldova's neighbour). | https://www.commitbiz.com/tax-residency-certificate-uae</v>
      </c>
      <c r="F3" s="8" t="str">
        <f aca="false">Рейтинг!N4&amp;": "&amp;Рейтинг!O4</f>
        <v>Да: Refer &amp; Earn / Referral Agreement (referral): terms page describes lead passing between independent associates, 7-day accept/decline window, 30-day termination notice.</v>
      </c>
      <c r="G3" s="8" t="str">
        <f aca="false">Рейтинг!Q4</f>
        <v>info@commitbiz.com</v>
      </c>
      <c r="H3" s="8" t="str">
        <f aca="false">Рейтинг!R4</f>
        <v>+971 4 871 4159 (main); +971 4 386 7444 (contact page title)</v>
      </c>
      <c r="I3" s="9" t="n">
        <f aca="false">Рейтинг!AE4</f>
        <v>4.15</v>
      </c>
    </row>
    <row r="4" customFormat="false" ht="91" hidden="false" customHeight="false" outlineLevel="0" collapsed="false">
      <c r="A4" s="8" t="n">
        <f aca="false">Рейтинг!A5</f>
        <v>4</v>
      </c>
      <c r="B4" s="8" t="str">
        <f aca="false">Рейтинг!C5</f>
        <v>Virtuzone</v>
      </c>
      <c r="C4" s="8" t="str">
        <f aca="false">Рейтинг!E5</f>
        <v>https://virtuzone.com</v>
      </c>
      <c r="D4" s="8" t="str">
        <f aca="false">Рейтинг!H5</f>
        <v>Нет</v>
      </c>
      <c r="E4" s="8" t="str">
        <f aca="false">Рейтинг!I5&amp;" | "&amp;Рейтинг!J5</f>
        <v>Offshore jurisdictions page lists Singapore, HK, KSA, BVI, Cayman only. Site search for Moldova returned only a blog article on CIS business opportunities (lists Moldova as CIS member) and a visa-free list; no Moldova formation service. Note: Virtuzone announced JV 'Virtuzone CIS' with Seven Pillars Law at AIFC (Astana, Kazakhstan) - c.2020, current status unclear. | https://virtuzone.com/blog/untapped-potential-business-opportunities-cis ; https://virtuzone.com/press-release/virtuzone-and-seven-pillars-law-create-joint-venture-virtuzone-cis/</v>
      </c>
      <c r="F4" s="8" t="str">
        <f aca="false">Рейтинг!N5&amp;": "&amp;Рейтинг!O5</f>
        <v>Да: Virtuzone Referral Platform (referral type): register for personal referral link; payout after referred client buys; up to AED 3,000 per business-setup referral, AED 1,500 per corporate-services referral; no cap. Also 'Our Business &amp; Digital Partners' page (vendor partners e.g. Payoneer) and past JVs (Virtuzone CIS, Virtuzone Israel).</v>
      </c>
      <c r="G4" s="8" t="str">
        <f aca="false">Рейтинг!Q5</f>
        <v>info@virtuzone.com</v>
      </c>
      <c r="H4" s="8" t="str">
        <f aca="false">Рейтинг!R5</f>
        <v>+971 4 457 8200 (WhatsApp +971 4 457 8220); 800-VIRTUZONE</v>
      </c>
      <c r="I4" s="9" t="n">
        <f aca="false">Рейтинг!AE5</f>
        <v>4.1</v>
      </c>
    </row>
    <row r="5" customFormat="false" ht="68.65" hidden="false" customHeight="false" outlineLevel="0" collapsed="false">
      <c r="A5" s="8" t="n">
        <f aca="false">Рейтинг!A6</f>
        <v>5</v>
      </c>
      <c r="B5" s="8" t="str">
        <f aca="false">Рейтинг!C6</f>
        <v>Uniwide</v>
      </c>
      <c r="C5" s="8" t="str">
        <f aca="false">Рейтинг!E6</f>
        <v>https://www.uniwide.com</v>
      </c>
      <c r="D5" s="8" t="str">
        <f aca="false">Рейтинг!H6</f>
        <v>Не найдено (неясно)</v>
      </c>
      <c r="E5" s="8" t="str">
        <f aca="false">Рейтинг!I6&amp;" | "&amp;Рейтинг!J6</f>
        <v>No Moldova page found in searches; full jurisdiction list not retrievable. | not found (search 'uniwide.com Moldova' returned nothing from uniwide.com)</v>
      </c>
      <c r="F5" s="8" t="str">
        <f aca="false">Рейтинг!N6&amp;": "&amp;Рейтинг!O6</f>
        <v>Да: Partner Programme aimed at law firms, banks, payment providers and tax advisers. Two models: referral (partner introduces client, Uniwide delivers end-to-end) and subcontractor (partner keeps client communication, Uniwide delivers formation - effectively white-label). Uniwide also states it relies on 'long-standing partnerships with local registration agents in most 30+ jurisdictions'.</v>
      </c>
      <c r="G5" s="8" t="str">
        <f aca="false">Рейтинг!Q6</f>
        <v>not found</v>
      </c>
      <c r="H5" s="8" t="str">
        <f aca="false">Рейтинг!R6</f>
        <v>+371 6611 8787 (Riga); +44 (0)20 4501 0600 (London); +248 441-19-70 (Seychelles)</v>
      </c>
      <c r="I5" s="9" t="n">
        <f aca="false">Рейтинг!AE6</f>
        <v>4.05</v>
      </c>
    </row>
    <row r="6" customFormat="false" ht="46.25" hidden="false" customHeight="false" outlineLevel="0" collapsed="false">
      <c r="A6" s="8" t="n">
        <f aca="false">Рейтинг!A8</f>
        <v>7</v>
      </c>
      <c r="B6" s="8" t="str">
        <f aca="false">Рейтинг!C8</f>
        <v>Sovereign Group (The Sovereign Group)</v>
      </c>
      <c r="C6" s="8" t="str">
        <f aca="false">Рейтинг!E8</f>
        <v>https://www.sovereigngroup.com</v>
      </c>
      <c r="D6" s="8" t="str">
        <f aca="false">Рейтинг!H8</f>
        <v>Нет</v>
      </c>
      <c r="E6" s="8" t="str">
        <f aca="false">Рейтинг!I8&amp;" | "&amp;Рейтинг!J8</f>
        <v>WebSearch 'site:sovereigngroup.com Moldova' returned no sovereigngroup.com pages; office/jurisdiction lists in snippets contain no Moldova. Jurisdictions page could not be fetched (egress blocked). | WebSearch site:sovereigngroup.com Moldova (2026-10-08)</v>
      </c>
      <c r="F6" s="8" t="str">
        <f aca="false">Рейтинг!N8&amp;": "&amp;Рейтинг!O8</f>
        <v>Не найдена: Searches for introducer/referral/partner programme on sovereigngroup.com found nothing. Group says it works via 'offices or agents' in IFCs (agent network model), so introducer relations likely handled ad hoc via general enquiries.</v>
      </c>
      <c r="G6" s="8" t="str">
        <f aca="false">Рейтинг!Q8</f>
        <v>info@SovereignGroup.com (general); gib@SovereignGroup.com (Gibraltar office)</v>
      </c>
      <c r="H6" s="8" t="str">
        <f aca="false">Рейтинг!R8</f>
        <v>+350 200 76173 (Sovereign Trust (Gibraltar) Ltd)</v>
      </c>
      <c r="I6" s="9" t="n">
        <f aca="false">Рейтинг!AE8</f>
        <v>3.85</v>
      </c>
    </row>
    <row r="7" customFormat="false" ht="46.25" hidden="false" customHeight="false" outlineLevel="0" collapsed="false">
      <c r="A7" s="8" t="n">
        <f aca="false">Рейтинг!A9</f>
        <v>8</v>
      </c>
      <c r="B7" s="8" t="str">
        <f aca="false">Рейтинг!C9</f>
        <v>Eurofast</v>
      </c>
      <c r="C7" s="8" t="str">
        <f aca="false">Рейтинг!E9</f>
        <v>https://eurofast.eu</v>
      </c>
      <c r="D7" s="8" t="str">
        <f aca="false">Рейтинг!H9</f>
        <v>Нет</v>
      </c>
      <c r="E7" s="8" t="str">
        <f aca="false">Рейтинг!I9&amp;" | "&amp;Рейтинг!J9</f>
        <v>Office lists found include Bucharest, Kyiv, Tbilisi but not Chisinau; 'site:eurofast.eu Moldova' returned nothing. | https://bkr.com/firm/eurofast-ltd/ (office list; via WebSearch); site search returned nothing</v>
      </c>
      <c r="F7" s="8" t="str">
        <f aca="false">Рейтинг!N9&amp;": "&amp;Рейтинг!O9</f>
        <v>Сеть (неформально): Eurofast Ltd is a member firm of BKR International (independent accounting/advisory network) and listed on PrimeGlobal; historically Taxand member in Cyprus. No public referral/partner programme found.</v>
      </c>
      <c r="G7" s="8" t="str">
        <f aca="false">Рейтинг!Q9</f>
        <v>info@eurofast.eu (per third-party career site profile - not verified on eurofast.eu)</v>
      </c>
      <c r="H7" s="8" t="str">
        <f aca="false">Рейтинг!R9</f>
        <v>+357 22 699 000 (Nicosia, per BKR directory)</v>
      </c>
      <c r="I7" s="9" t="n">
        <f aca="false">Рейтинг!AE9</f>
        <v>3.8</v>
      </c>
    </row>
    <row r="8" customFormat="false" ht="46.25" hidden="false" customHeight="false" outlineLevel="0" collapsed="false">
      <c r="A8" s="8" t="n">
        <f aca="false">Рейтинг!A10</f>
        <v>9</v>
      </c>
      <c r="B8" s="8" t="str">
        <f aca="false">Рейтинг!C10</f>
        <v>TMF Group</v>
      </c>
      <c r="C8" s="8" t="str">
        <f aca="false">Рейтинг!E10</f>
        <v>https://www.tmf-group.com</v>
      </c>
      <c r="D8" s="8" t="str">
        <f aca="false">Рейтинг!H10</f>
        <v>Нет</v>
      </c>
      <c r="E8" s="8" t="str">
        <f aca="false">Рейтинг!I10&amp;" | "&amp;Рейтинг!J10</f>
        <v>Europe locations list (35) includes Romania and Ukraine but not Moldova; site-restricted search 'site:tmf-group.com Moldova' returned nothing from tmf-group.com. | https://www.tmf-group.com/en/locations/emea (via WebSearch); no Moldova page found</v>
      </c>
      <c r="F8" s="8" t="str">
        <f aca="false">Рейтинг!N10&amp;": "&amp;Рейтинг!O10</f>
        <v>Не найдена: Searches for TMF Group partner/referral/introducer programme returned only an Ashoka CSR partnership. No public referral or local-provider partner programme found.</v>
      </c>
      <c r="G8" s="8" t="str">
        <f aca="false">Рейтинг!Q10</f>
        <v>not found</v>
      </c>
      <c r="H8" s="8" t="str">
        <f aca="false">Рейтинг!R10</f>
        <v>+31 20 575 5600 (third-party ZoomInfo listing only - not verified on own site)</v>
      </c>
      <c r="I8" s="9" t="n">
        <f aca="false">Рейтинг!AE10</f>
        <v>3.4</v>
      </c>
    </row>
    <row r="9" customFormat="false" ht="46.25" hidden="false" customHeight="false" outlineLevel="0" collapsed="false">
      <c r="A9" s="8" t="n">
        <f aca="false">Рейтинг!A11</f>
        <v>10</v>
      </c>
      <c r="B9" s="8" t="str">
        <f aca="false">Рейтинг!C11</f>
        <v>Vistra (incl. Tricor; acquired Biz Latin Hub)</v>
      </c>
      <c r="C9" s="8" t="str">
        <f aca="false">Рейтинг!E11</f>
        <v>https://www.vistra.com</v>
      </c>
      <c r="D9" s="8" t="str">
        <f aca="false">Рейтинг!H11</f>
        <v>Нет</v>
      </c>
      <c r="E9" s="8" t="str">
        <f aca="false">Рейтинг!I11&amp;" | "&amp;Рейтинг!J11</f>
        <v>WebSearch 'site:vistra.com Moldova' returned no Vistra pages about Moldova (only a name coincidence: CFO Kris Moldovan on stocktitan.net). No Moldova in located jurisdiction pages. | not found</v>
      </c>
      <c r="F9" s="8" t="str">
        <f aca="false">Рейтинг!N11&amp;": "&amp;Рейтинг!O11</f>
        <v>Не найдена: No public referral/partner program found; historically used affiliate arrangements (e.g. Biz Latin Hub collaborated with Vistra via affiliate arrangement before acquisition). General contact form routes enquiries.</v>
      </c>
      <c r="G9" s="8" t="str">
        <f aca="false">Рейтинг!Q11</f>
        <v>not verified (redacted in snippet)</v>
      </c>
      <c r="H9" s="8" t="str">
        <f aca="false">Рейтинг!R11</f>
        <v>+852 2521 3661</v>
      </c>
      <c r="I9" s="9" t="n">
        <f aca="false">Рейтинг!AE11</f>
        <v>3.4</v>
      </c>
    </row>
    <row r="10" customFormat="false" ht="46.25" hidden="false" customHeight="false" outlineLevel="0" collapsed="false">
      <c r="A10" s="8" t="n">
        <f aca="false">Рейтинг!A13</f>
        <v>12</v>
      </c>
      <c r="B10" s="8" t="str">
        <f aca="false">Рейтинг!C13</f>
        <v>Riz &amp; Mona Consultancy</v>
      </c>
      <c r="C10" s="8" t="str">
        <f aca="false">Рейтинг!E13</f>
        <v>https://www.rizmona.com</v>
      </c>
      <c r="D10" s="8" t="str">
        <f aca="false">Рейтинг!H13</f>
        <v>Нет</v>
      </c>
      <c r="E10" s="8" t="str">
        <f aca="false">Рейтинг!I13&amp;" | "&amp;Рейтинг!J13</f>
        <v>Site search for Moldova returned only a news item on the UAE-Moldova mutual visa-free agreement (Aug 2025) and travel lists; no Moldova formation service. | https://www.rizmona.com/news/uae-moldova-sign-mutual-visa-free-travel-agreement-in-abu-dhabi/</v>
      </c>
      <c r="F10" s="8" t="str">
        <f aca="false">Рейтинг!N13&amp;": "&amp;Рейтинг!O13</f>
        <v>Не найдена: No referral/affiliate page found. Site states it delivers services worldwide 'through its well established network of associate firms' (local-provider network, no application page).</v>
      </c>
      <c r="G10" s="8" t="str">
        <f aca="false">Рейтинг!Q13</f>
        <v>info@rizmona.com</v>
      </c>
      <c r="H10" s="8" t="str">
        <f aca="false">Рейтинг!R13</f>
        <v>+971 4 558 6339; WhatsApp +971 54 582 1012</v>
      </c>
      <c r="I10" s="9" t="n">
        <f aca="false">Рейтинг!AE13</f>
        <v>3.25</v>
      </c>
    </row>
    <row r="11" customFormat="false" ht="35.05" hidden="false" customHeight="false" outlineLevel="0" collapsed="false">
      <c r="A11" s="8" t="n">
        <f aca="false">Рейтинг!A14</f>
        <v>13</v>
      </c>
      <c r="B11" s="8" t="str">
        <f aca="false">Рейтинг!C14</f>
        <v>Tetra Consultants</v>
      </c>
      <c r="C11" s="8" t="str">
        <f aca="false">Рейтинг!E14</f>
        <v>https://www.tetraconsultants.com</v>
      </c>
      <c r="D11" s="8" t="str">
        <f aca="false">Рейтинг!H14</f>
        <v>Не найдено (неясно)</v>
      </c>
      <c r="E11" s="8" t="str">
        <f aca="false">Рейтинг!I14&amp;" | "&amp;Рейтинг!J14</f>
        <v>WebSearch 'site:tetraconsultants.com Moldova' returned no tetraconsultants.com pages; full jurisdiction list could not be fetched. | WebSearch site:tetraconsultants.com Moldova (2026-10-08)</v>
      </c>
      <c r="F11" s="8" t="str">
        <f aca="false">Рейтинг!N14&amp;": "&amp;Рейтинг!O14</f>
        <v>Не найдена: No partner/referral/affiliate page surfaced in search.</v>
      </c>
      <c r="G11" s="8" t="str">
        <f aca="false">Рейтинг!Q14</f>
        <v>enquiry@tetraconsultants.com</v>
      </c>
      <c r="H11" s="8" t="str">
        <f aca="false">Рейтинг!R14</f>
        <v>not found (site footer offers WhatsApp per snippet)</v>
      </c>
      <c r="I11" s="9" t="n">
        <f aca="false">Рейтинг!AE14</f>
        <v>3.05</v>
      </c>
    </row>
    <row r="12" customFormat="false" ht="35.05" hidden="false" customHeight="false" outlineLevel="0" collapsed="false">
      <c r="A12" s="8" t="n">
        <f aca="false">Рейтинг!A15</f>
        <v>14</v>
      </c>
      <c r="B12" s="8" t="str">
        <f aca="false">Рейтинг!C15</f>
        <v>Shuraa Business Setup</v>
      </c>
      <c r="C12" s="8" t="str">
        <f aca="false">Рейтинг!E15</f>
        <v>https://www.shuraa.com</v>
      </c>
      <c r="D12" s="8" t="str">
        <f aca="false">Рейтинг!H15</f>
        <v>Нет</v>
      </c>
      <c r="E12" s="8" t="str">
        <f aca="false">Рейтинг!I15&amp;" | "&amp;Рейтинг!J15</f>
        <v>Site search for Moldova returned only visa-free travel lists for UAE residents; no Moldova formation page. No non-UAE formation jurisdiction list found. | https://www.shuraa.com/visa-free-countries-for-uae-residents/</v>
      </c>
      <c r="F12" s="8" t="str">
        <f aca="false">Рейтинг!N15&amp;": "&amp;Рейтинг!O15</f>
        <v>Да: Shuraa Refer &amp; Earn programme (referral): up to AED 3,000 per successful introduction, paid after completed mainland/free zone setup; referrers may not represent Shuraa or sign agreements.</v>
      </c>
      <c r="G12" s="8" t="str">
        <f aca="false">Рейтинг!Q15</f>
        <v>info@shuraa.com (UK: info@shuraa.co.uk)</v>
      </c>
      <c r="H12" s="8" t="str">
        <f aca="false">Рейтинг!R15</f>
        <v>+971 4 408 1900; toll-free 800-SHURAA; WhatsApp +971 50 777 5554</v>
      </c>
      <c r="I12" s="9" t="n">
        <f aca="false">Рейтинг!AE15</f>
        <v>2.75</v>
      </c>
    </row>
    <row r="13" customFormat="false" ht="35.05" hidden="false" customHeight="false" outlineLevel="0" collapsed="false">
      <c r="A13" s="8" t="n">
        <f aca="false">Рейтинг!A16</f>
        <v>15</v>
      </c>
      <c r="B13" s="8" t="str">
        <f aca="false">Рейтинг!C16</f>
        <v>SFM Corporate Services (SFM Offshore)</v>
      </c>
      <c r="C13" s="8" t="str">
        <f aca="false">Рейтинг!E16</f>
        <v>https://www.sfmoffshore.com</v>
      </c>
      <c r="D13" s="8" t="str">
        <f aca="false">Рейтинг!H16</f>
        <v>Не найдено (неясно)</v>
      </c>
      <c r="E13" s="8" t="str">
        <f aca="false">Рейтинг!I16&amp;" | "&amp;Рейтинг!J16</f>
        <v>WebSearch 'site:sfmoffshore.com Moldova' returned nothing; own jurisdiction list not fetched. | WebSearch site:sfmoffshore.com Moldova (2026-10-08)</v>
      </c>
      <c r="F13" s="8" t="str">
        <f aca="false">Рейтинг!N16&amp;": "&amp;Рейтинг!O16</f>
        <v>Не найдена: Searches for SFM introducer/partner/affiliate program returned nothing.</v>
      </c>
      <c r="G13" s="8" t="str">
        <f aca="false">Рейтинг!Q16</f>
        <v>not verified</v>
      </c>
      <c r="H13" s="8" t="str">
        <f aca="false">Рейтинг!R16</f>
        <v>not verified</v>
      </c>
      <c r="I13" s="9" t="n">
        <f aca="false">Рейтинг!AE16</f>
        <v>2.65</v>
      </c>
    </row>
    <row r="14" customFormat="false" ht="35.05" hidden="false" customHeight="false" outlineLevel="0" collapsed="false">
      <c r="A14" s="8" t="n">
        <f aca="false">Рейтинг!A17</f>
        <v>16</v>
      </c>
      <c r="B14" s="8" t="str">
        <f aca="false">Рейтинг!C17</f>
        <v>Creation Business Consultants</v>
      </c>
      <c r="C14" s="8" t="str">
        <f aca="false">Рейтинг!E17</f>
        <v>https://www.creationbc.com</v>
      </c>
      <c r="D14" s="8" t="str">
        <f aca="false">Рейтинг!H17</f>
        <v>Нет</v>
      </c>
      <c r="E14" s="8" t="str">
        <f aca="false">Рейтинг!I17&amp;" | "&amp;Рейтинг!J17</f>
        <v>Locations page/menu lists GCC, Egypt, HK, China, UK, AU, USA, KR and offshore islands; no Moldova. Site search for Moldova returned no relevant pages. | https://www.creationbc.com/locations/</v>
      </c>
      <c r="F14" s="8" t="str">
        <f aca="false">Рейтинг!N17&amp;": "&amp;Рейтинг!O17</f>
        <v>Не найдена: Searches for partner/referral/affiliate on site returned no program; only a careers listing mentioning 'referral partners'.</v>
      </c>
      <c r="G14" s="8" t="str">
        <f aca="false">Рейтинг!Q17</f>
        <v>info@creationbc.com</v>
      </c>
      <c r="H14" s="8" t="str">
        <f aca="false">Рейтинг!R17</f>
        <v>+971 4 878 6240 (Dubai); +966 11 434 3300 (Riyadh)</v>
      </c>
      <c r="I14" s="9" t="n">
        <f aca="false">Рейтинг!AE17</f>
        <v>2.6</v>
      </c>
    </row>
    <row r="15" customFormat="false" ht="35.05" hidden="false" customHeight="false" outlineLevel="0" collapsed="false">
      <c r="A15" s="8" t="n">
        <f aca="false">Рейтинг!A18</f>
        <v>17</v>
      </c>
      <c r="B15" s="8" t="str">
        <f aca="false">Рейтинг!C18</f>
        <v>Avyanco</v>
      </c>
      <c r="C15" s="8" t="str">
        <f aca="false">Рейтинг!E18</f>
        <v>https://avyanco.com</v>
      </c>
      <c r="D15" s="8" t="str">
        <f aca="false">Рейтинг!H18</f>
        <v>Нет</v>
      </c>
      <c r="E15" s="8" t="str">
        <f aca="false">Рейтинг!I18&amp;" | "&amp;Рейтинг!J18</f>
        <v>Site search for Moldova returned only unrelated UAE service pages; no Moldova page. | not found (site search avyanco.com 'Moldova')</v>
      </c>
      <c r="F15" s="8" t="str">
        <f aca="false">Рейтинг!N18&amp;": "&amp;Рейтинг!O18</f>
        <v>Не найдена: No referral/affiliate page found in site searches; contact page titled 'Talk to a Partner' (refers to firm partners, not a program).</v>
      </c>
      <c r="G15" s="8" t="str">
        <f aca="false">Рейтинг!Q18</f>
        <v>info@avyanco.com</v>
      </c>
      <c r="H15" s="8" t="str">
        <f aca="false">Рейтинг!R18</f>
        <v>+971 50 398 9000 (Dubai); +44 7404 022740 (UK desk)</v>
      </c>
      <c r="I15" s="9" t="n">
        <f aca="false">Рейтинг!AE18</f>
        <v>2.45</v>
      </c>
    </row>
    <row r="16" customFormat="false" ht="46.25" hidden="false" customHeight="false" outlineLevel="0" collapsed="false">
      <c r="A16" s="8" t="n">
        <f aca="false">Рейтинг!A19</f>
        <v>18</v>
      </c>
      <c r="B16" s="8" t="str">
        <f aca="false">Рейтинг!C19</f>
        <v>InCorp Global (rebranding to Ascentium)</v>
      </c>
      <c r="C16" s="8" t="str">
        <f aca="false">Рейтинг!E19</f>
        <v>https://www.incorp.asia</v>
      </c>
      <c r="D16" s="8" t="str">
        <f aca="false">Рейтинг!H19</f>
        <v>Нет</v>
      </c>
      <c r="E16" s="8" t="str">
        <f aca="false">Рейтинг!I19&amp;" | "&amp;Рейтинг!J19</f>
        <v>Market list is APAC-only (9 markets) with no Moldova; WebSearch 'site:incorp.asia Moldova' returned no incorp.asia pages (only unrelated incorpore.md). | https://www.incorp.asia/about/</v>
      </c>
      <c r="F16" s="8" t="str">
        <f aca="false">Рейтинг!N19&amp;": "&amp;Рейтинг!O19</f>
        <v>Не найдена: No InCorp Global partner/referral page found. Note: the 20%-commission referral program at incorp.com is a different US company (InCorp Services) - not this firm. ACE Singapore member discount (15%) exists but is a perk, not a referral program.</v>
      </c>
      <c r="G16" s="8" t="str">
        <f aca="false">Рейтинг!Q19</f>
        <v>not found</v>
      </c>
      <c r="H16" s="8" t="str">
        <f aca="false">Рейтинг!R19</f>
        <v>+65 8699 8821 (WhatsApp)</v>
      </c>
      <c r="I16" s="9" t="n">
        <f aca="false">Рейтинг!AE19</f>
        <v>2.3</v>
      </c>
    </row>
    <row r="17" customFormat="false" ht="46.25" hidden="false" customHeight="false" outlineLevel="0" collapsed="false">
      <c r="A17" s="8" t="n">
        <f aca="false">Рейтинг!A20</f>
        <v>19</v>
      </c>
      <c r="B17" s="8" t="str">
        <f aca="false">Рейтинг!C20</f>
        <v>Sleek</v>
      </c>
      <c r="C17" s="8" t="str">
        <f aca="false">Рейтинг!E20</f>
        <v>https://sleek.com</v>
      </c>
      <c r="D17" s="8" t="str">
        <f aca="false">Рейтинг!H20</f>
        <v>Нет</v>
      </c>
      <c r="E17" s="8" t="str">
        <f aca="false">Рейтинг!I20&amp;" | "&amp;Рейтинг!J20</f>
        <v>Only 4 markets; WebSearch 'site:sleek.com Moldova' returned no sleek.com pages. | not found</v>
      </c>
      <c r="F17" s="8" t="str">
        <f aca="false">Рейтинг!N20&amp;": "&amp;Рейтинг!O20</f>
        <v>Да: Affiliate partners programme: SGD 300 per successful conversion + SGD 1,000 bonus per 10 conversions; open to communities/creators with SME audiences; new countries on request via affiliates@sleek.com. Also 'Partner perks' page for third-party vendors.</v>
      </c>
      <c r="G17" s="8" t="str">
        <f aca="false">Рейтинг!Q20</f>
        <v>affiliates@sleek.com (affiliate programme); general email not found</v>
      </c>
      <c r="H17" s="8" t="str">
        <f aca="false">Рейтинг!R20</f>
        <v>+65 6929 8273</v>
      </c>
      <c r="I17" s="9" t="n">
        <f aca="false">Рейтинг!AE20</f>
        <v>2.3</v>
      </c>
    </row>
    <row r="18" customFormat="false" ht="46.25" hidden="false" customHeight="false" outlineLevel="0" collapsed="false">
      <c r="A18" s="8" t="n">
        <f aca="false">Рейтинг!A21</f>
        <v>20</v>
      </c>
      <c r="B18" s="8" t="str">
        <f aca="false">Рейтинг!C21</f>
        <v>IQ-EQ</v>
      </c>
      <c r="C18" s="8" t="str">
        <f aca="false">Рейтинг!E21</f>
        <v>https://iqeq.com</v>
      </c>
      <c r="D18" s="8" t="str">
        <f aca="false">Рейтинг!H21</f>
        <v>Нет</v>
      </c>
      <c r="E18" s="8" t="str">
        <f aca="false">Рейтинг!I21&amp;" | "&amp;Рейтинг!J21</f>
        <v>No Moldova (nor Romania/Ukraine) presence found; 'site:iqeq.com Moldova' returned nothing from iqeq.com. Full locations list could not be fetched. | not found (site search returned nothing; https://iqeq.com/locations/ not fetchable)</v>
      </c>
      <c r="F18" s="8" t="str">
        <f aca="false">Рейтинг!N21&amp;": "&amp;Рейтинг!O21</f>
        <v>Не найдена: No referral/introducer/partner programme found in searches.</v>
      </c>
      <c r="G18" s="8" t="str">
        <f aca="false">Рейтинг!Q21</f>
        <v>not found</v>
      </c>
      <c r="H18" s="8" t="str">
        <f aca="false">Рейтинг!R21</f>
        <v>+352 466 1111 (Luxembourg registered office)</v>
      </c>
      <c r="I18" s="9" t="n">
        <f aca="false">Рейтинг!AE21</f>
        <v>1.95</v>
      </c>
    </row>
    <row r="20" customFormat="false" ht="15" hidden="false" customHeight="false" outlineLevel="0" collapsed="false">
      <c r="A20" s="6" t="n">
        <f aca="false">COUNTA(B3:B18)</f>
        <v>16</v>
      </c>
      <c r="B20" s="10" t="s">
        <v>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26"/>
    <col collapsed="false" customWidth="true" hidden="false" outlineLevel="0" max="4" min="4" style="0" width="12"/>
    <col collapsed="false" customWidth="true" hidden="false" outlineLevel="0" max="6" min="5" style="0" width="60"/>
    <col collapsed="false" customWidth="true" hidden="false" outlineLevel="0" max="7" min="7" style="0" width="26"/>
    <col collapsed="false" customWidth="true" hidden="false" outlineLevel="0" max="8" min="8" style="0" width="22"/>
    <col collapsed="false" customWidth="true" hidden="false" outlineLevel="0" max="9" min="9" style="0" width="9"/>
  </cols>
  <sheetData>
    <row r="1" customFormat="false" ht="15" hidden="false" customHeight="false" outlineLevel="0" collapsed="false">
      <c r="A1" s="6" t="s">
        <v>380</v>
      </c>
    </row>
    <row r="2" customFormat="false" ht="15" hidden="false" customHeight="false" outlineLevel="0" collapsed="false">
      <c r="A2" s="7" t="s">
        <v>0</v>
      </c>
      <c r="B2" s="7" t="s">
        <v>2</v>
      </c>
      <c r="C2" s="7" t="s">
        <v>4</v>
      </c>
      <c r="D2" s="7" t="s">
        <v>27</v>
      </c>
      <c r="E2" s="7" t="s">
        <v>378</v>
      </c>
      <c r="F2" s="7" t="s">
        <v>13</v>
      </c>
      <c r="G2" s="7" t="s">
        <v>16</v>
      </c>
      <c r="H2" s="7" t="s">
        <v>17</v>
      </c>
      <c r="I2" s="7" t="s">
        <v>30</v>
      </c>
    </row>
    <row r="3" customFormat="false" ht="124.6" hidden="false" customHeight="false" outlineLevel="0" collapsed="false">
      <c r="A3" s="8" t="n">
        <f aca="false">Рейтинг!A2</f>
        <v>1</v>
      </c>
      <c r="B3" s="8" t="str">
        <f aca="false">Рейтинг!C2</f>
        <v>Accace</v>
      </c>
      <c r="C3" s="8" t="str">
        <f aca="false">Рейтинг!E2</f>
        <v>https://accace.com</v>
      </c>
      <c r="D3" s="8" t="str">
        <f aca="false">Рейтинг!H2</f>
        <v>Да</v>
      </c>
      <c r="E3" s="8" t="str">
        <f aca="false">Рейтинг!I2&amp;" | "&amp;Рейтинг!J2</f>
        <v>Accace has dedicated Moldova pages: 'Corporate and secretarial services in Moldova' (go-to-market research, business setup, tax registration, business permits, work/residence permits, bank account opening, corporate changes) and 'Accounting and reporting services in Moldova'. Moldova office address NOT found in snippets; unclear whether own office or partner-delivered (Accace states other locations are covered via its partner network). | https://www.accace.com/locations/moldova/corporate-and-secretarial-services/ ; https://www.accace.com/locations/moldova/accounting-and-reporting-services/ (found via WebSearch; page itself could not be fetched)</v>
      </c>
      <c r="F3" s="8" t="str">
        <f aca="false">Рейтинг!N2&amp;": "&amp;Рейтинг!O2</f>
        <v>Да: Accace Circle - a 'co-created business community of like-minded BPO providers and advisors' offering unified services under one account management; Accace also states locations outside own branches are 'covered via Accace's trusted network of partners'. Contact named publicly: Business Development &amp; Community Lead. No public application form found. Type: local-provider network.</v>
      </c>
      <c r="G3" s="8" t="str">
        <f aca="false">Рейтинг!Q2</f>
        <v>slovakia@accace.com (Slovak office, per third-party directory - not verified on accace.com); czechrepublic@accace.com (Czech office)</v>
      </c>
      <c r="H3" s="8" t="str">
        <f aca="false">Рейтинг!R2</f>
        <v>+421 2 325 530 00 (Slovakia, per directory - not verified on own site); +420 222 753 480 (Czech)</v>
      </c>
      <c r="I3" s="9" t="n">
        <f aca="false">Рейтинг!AE2</f>
        <v>4.45</v>
      </c>
    </row>
    <row r="4" customFormat="false" ht="46.25" hidden="false" customHeight="false" outlineLevel="0" collapsed="false">
      <c r="A4" s="8" t="n">
        <f aca="false">Рейтинг!A3</f>
        <v>2</v>
      </c>
      <c r="B4" s="8" t="str">
        <f aca="false">Рейтинг!C3</f>
        <v>BridgeWest (BridgeWest Legal Network)</v>
      </c>
      <c r="C4" s="8" t="str">
        <f aca="false">Рейтинг!E3</f>
        <v>https://bridgewest.eu</v>
      </c>
      <c r="D4" s="8" t="str">
        <f aca="false">Рейтинг!H3</f>
        <v>Да</v>
      </c>
      <c r="E4" s="8" t="str">
        <f aca="false">Рейтинг!I3&amp;" | "&amp;Рейтинг!J3</f>
        <v>Dedicated page: agents assist local and foreign investors to register SMEs in Moldova, offer ready-made Moldovan companies and VAT registration. | https://bridgewest.eu/company-formation-moldova/</v>
      </c>
      <c r="F4" s="8" t="str">
        <f aca="false">Рейтинг!N3&amp;": "&amp;Рейтинг!O3</f>
        <v>Да: Delivers services through a network of independent Affiliates (law firms, consultants, accountants) in 70+ countries; homepage has a 'Join Our Network' section. Application terms not verified.</v>
      </c>
      <c r="G4" s="8" t="str">
        <f aca="false">Рейтинг!Q3</f>
        <v>office@bridgewest.eu</v>
      </c>
      <c r="H4" s="8" t="str">
        <f aca="false">Рейтинг!R3</f>
        <v>+44 203 287 0408 (other number shown as '+35 699 699 405' - prefix incomplete, not verified)</v>
      </c>
      <c r="I4" s="9" t="n">
        <f aca="false">Рейтинг!AE3</f>
        <v>4.35</v>
      </c>
    </row>
    <row r="5" customFormat="false" ht="113.4" hidden="false" customHeight="false" outlineLevel="0" collapsed="false">
      <c r="A5" s="8" t="n">
        <f aca="false">Рейтинг!A7</f>
        <v>6</v>
      </c>
      <c r="B5" s="8" t="str">
        <f aca="false">Рейтинг!C7</f>
        <v>Healy Consultants Group (part of Hawksford)</v>
      </c>
      <c r="C5" s="8" t="str">
        <f aca="false">Рейтинг!E7</f>
        <v>https://www.healyconsultants.com</v>
      </c>
      <c r="D5" s="8" t="str">
        <f aca="false">Рейтинг!H7</f>
        <v>Да</v>
      </c>
      <c r="E5" s="8" t="str">
        <f aca="false">Рейтинг!I7&amp;" | "&amp;Рейтинг!J7</f>
        <v>Dedicated Moldova pages: 10-step incorporation process (name reservation, filing with State Registration Chamber, IDNO, bank account, tax/social registration); LLC with 1 shareholder/1 director any nationality, 12% CIT, ~2 weeks; setup cost quoted in EUR (EUR 7,950 per snippet); 2025 case study of Maltese client registering a recruitment agency in Moldova. Snippet-level only; page fetch failed. | https://www.healyconsultants.com/moldova-company-registration/ ; https://www.healyconsultants.com/moldova-company-registration/client-case-studies/ ; https://www.healyconsultants.com/moldova-company-registration/accounting-legal</v>
      </c>
      <c r="F5" s="8" t="str">
        <f aca="false">Рейтинг!N7&amp;": "&amp;Рейтинг!O7</f>
        <v>Не найдена: site search for referral/introducer/partner program returned nothing; no partner page found</v>
      </c>
      <c r="G5" s="8" t="str">
        <f aca="false">Рейтинг!Q7</f>
        <v>healy@hawksford.com</v>
      </c>
      <c r="H5" s="8" t="str">
        <f aca="false">Рейтинг!R7</f>
        <v>+65 6031 0332 (SG); +971 4266 4470 (Dubai)</v>
      </c>
      <c r="I5" s="9" t="n">
        <f aca="false">Рейтинг!AE7</f>
        <v>4.05</v>
      </c>
    </row>
    <row r="6" customFormat="false" ht="57.45" hidden="false" customHeight="false" outlineLevel="0" collapsed="false">
      <c r="A6" s="8" t="n">
        <f aca="false">Рейтинг!A12</f>
        <v>11</v>
      </c>
      <c r="B6" s="8" t="str">
        <f aca="false">Рейтинг!C12</f>
        <v>GSL (GSL group of companies)</v>
      </c>
      <c r="C6" s="8" t="str">
        <f aca="false">Рейтинг!E12</f>
        <v>https://gsl.org</v>
      </c>
      <c r="D6" s="8" t="str">
        <f aca="false">Рейтинг!H12</f>
        <v>Да</v>
      </c>
      <c r="E6" s="8" t="str">
        <f aca="false">Рейтинг!I12&amp;" | "&amp;Рейтинг!J12</f>
        <v>Moldova page: incorporation or shelf company, registered office for 1 year, apostilled docs, secretarial, bank-account pre-approval; price EUR 2,000; 1-3 workdays for LLC with foreign participation. Also Moldova tax page. | https://gsl.org/en/offshore/offshore-zones/eastern-europe/moldova/ ; https://gsl.org/en/taxes/moldova/</v>
      </c>
      <c r="F6" s="8" t="str">
        <f aca="false">Рейтинг!N12&amp;": "&amp;Рейтинг!O12</f>
        <v>Не найдена: Site says it has 'many trusted partners in different countries' but no partner/agent programme page found.</v>
      </c>
      <c r="G6" s="8" t="str">
        <f aca="false">Рейтинг!Q12</f>
        <v>gsl@gsl.org</v>
      </c>
      <c r="H6" s="8" t="str">
        <f aca="false">Рейтинг!R12</f>
        <v>+7 495 234 3833</v>
      </c>
      <c r="I6" s="9" t="n">
        <f aca="false">Рейтинг!AE12</f>
        <v>3.4</v>
      </c>
    </row>
    <row r="8" customFormat="false" ht="15" hidden="false" customHeight="false" outlineLevel="0" collapsed="false">
      <c r="A8" s="6" t="n">
        <f aca="false">COUNTA(B3:B6)</f>
        <v>4</v>
      </c>
      <c r="B8" s="10" t="s">
        <v>379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40"/>
    <col collapsed="false" customWidth="true" hidden="false" outlineLevel="0" max="4" min="4" style="0" width="45"/>
    <col collapsed="false" customWidth="true" hidden="false" outlineLevel="0" max="5" min="5" style="0" width="60"/>
    <col collapsed="false" customWidth="true" hidden="false" outlineLevel="0" max="6" min="6" style="0" width="40"/>
    <col collapsed="false" customWidth="true" hidden="false" outlineLevel="0" max="7" min="7" style="0" width="22"/>
  </cols>
  <sheetData>
    <row r="1" customFormat="false" ht="15" hidden="false" customHeight="false" outlineLevel="0" collapsed="false">
      <c r="A1" s="11" t="s">
        <v>381</v>
      </c>
    </row>
    <row r="2" customFormat="false" ht="15" hidden="false" customHeight="false" outlineLevel="0" collapsed="false">
      <c r="A2" s="7" t="s">
        <v>0</v>
      </c>
      <c r="B2" s="7" t="s">
        <v>2</v>
      </c>
      <c r="C2" s="7" t="s">
        <v>382</v>
      </c>
      <c r="D2" s="7" t="s">
        <v>383</v>
      </c>
      <c r="E2" s="7" t="s">
        <v>384</v>
      </c>
      <c r="F2" s="7" t="s">
        <v>385</v>
      </c>
      <c r="G2" s="7" t="s">
        <v>386</v>
      </c>
    </row>
    <row r="3" customFormat="false" ht="35.05" hidden="false" customHeight="false" outlineLevel="0" collapsed="false">
      <c r="A3" s="8" t="n">
        <f aca="false">Рейтинг!A2</f>
        <v>1</v>
      </c>
      <c r="B3" s="8" t="str">
        <f aca="false">Рейтинг!C2</f>
        <v>Accace</v>
      </c>
      <c r="C3" s="12" t="s">
        <v>387</v>
      </c>
      <c r="D3" s="12" t="s">
        <v>388</v>
      </c>
      <c r="E3" s="12" t="s">
        <v>389</v>
      </c>
      <c r="F3" s="12" t="s">
        <v>390</v>
      </c>
      <c r="G3" s="12" t="s">
        <v>391</v>
      </c>
    </row>
    <row r="4" customFormat="false" ht="23.85" hidden="false" customHeight="false" outlineLevel="0" collapsed="false">
      <c r="A4" s="8" t="n">
        <f aca="false">Рейтинг!A3</f>
        <v>2</v>
      </c>
      <c r="B4" s="8" t="str">
        <f aca="false">Рейтинг!C3</f>
        <v>BridgeWest (BridgeWest Legal Network)</v>
      </c>
      <c r="C4" s="12" t="s">
        <v>392</v>
      </c>
      <c r="D4" s="12" t="s">
        <v>393</v>
      </c>
      <c r="E4" s="12" t="s">
        <v>394</v>
      </c>
      <c r="F4" s="12" t="s">
        <v>395</v>
      </c>
      <c r="G4" s="12" t="s">
        <v>391</v>
      </c>
    </row>
    <row r="5" customFormat="false" ht="23.85" hidden="false" customHeight="false" outlineLevel="0" collapsed="false">
      <c r="A5" s="8" t="n">
        <f aca="false">Рейтинг!A4</f>
        <v>3</v>
      </c>
      <c r="B5" s="8" t="str">
        <f aca="false">Рейтинг!C4</f>
        <v>Commitbiz</v>
      </c>
      <c r="C5" s="12" t="s">
        <v>396</v>
      </c>
      <c r="D5" s="12" t="s">
        <v>397</v>
      </c>
      <c r="E5" s="12" t="s">
        <v>398</v>
      </c>
      <c r="F5" s="12" t="s">
        <v>399</v>
      </c>
      <c r="G5" s="12" t="s">
        <v>391</v>
      </c>
    </row>
    <row r="6" customFormat="false" ht="35.05" hidden="false" customHeight="false" outlineLevel="0" collapsed="false">
      <c r="A6" s="8" t="n">
        <f aca="false">Рейтинг!A5</f>
        <v>4</v>
      </c>
      <c r="B6" s="8" t="str">
        <f aca="false">Рейтинг!C5</f>
        <v>Virtuzone</v>
      </c>
      <c r="C6" s="12" t="s">
        <v>400</v>
      </c>
      <c r="D6" s="12" t="s">
        <v>401</v>
      </c>
      <c r="E6" s="12" t="s">
        <v>402</v>
      </c>
      <c r="F6" s="12" t="s">
        <v>403</v>
      </c>
      <c r="G6" s="12" t="s">
        <v>391</v>
      </c>
    </row>
    <row r="7" customFormat="false" ht="23.85" hidden="false" customHeight="false" outlineLevel="0" collapsed="false">
      <c r="A7" s="8" t="n">
        <f aca="false">Рейтинг!A6</f>
        <v>5</v>
      </c>
      <c r="B7" s="8" t="str">
        <f aca="false">Рейтинг!C6</f>
        <v>Uniwide</v>
      </c>
      <c r="C7" s="12" t="s">
        <v>404</v>
      </c>
      <c r="D7" s="12" t="s">
        <v>405</v>
      </c>
      <c r="E7" s="12" t="s">
        <v>406</v>
      </c>
      <c r="F7" s="12" t="s">
        <v>407</v>
      </c>
      <c r="G7" s="12" t="s">
        <v>391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90"/>
  </cols>
  <sheetData>
    <row r="1" customFormat="false" ht="15" hidden="false" customHeight="false" outlineLevel="0" collapsed="false">
      <c r="A1" s="7" t="s">
        <v>2</v>
      </c>
      <c r="B1" s="7" t="s">
        <v>408</v>
      </c>
    </row>
    <row r="2" customFormat="false" ht="23.85" hidden="false" customHeight="false" outlineLevel="0" collapsed="false">
      <c r="A2" s="13" t="s">
        <v>409</v>
      </c>
      <c r="B2" s="12" t="s">
        <v>410</v>
      </c>
    </row>
    <row r="3" customFormat="false" ht="23.85" hidden="false" customHeight="false" outlineLevel="0" collapsed="false">
      <c r="A3" s="13" t="s">
        <v>411</v>
      </c>
      <c r="B3" s="12" t="s">
        <v>412</v>
      </c>
    </row>
    <row r="4" customFormat="false" ht="15" hidden="false" customHeight="false" outlineLevel="0" collapsed="false">
      <c r="A4" s="13" t="s">
        <v>413</v>
      </c>
      <c r="B4" s="12" t="s">
        <v>414</v>
      </c>
    </row>
    <row r="5" customFormat="false" ht="15" hidden="false" customHeight="false" outlineLevel="0" collapsed="false">
      <c r="A5" s="13" t="s">
        <v>415</v>
      </c>
      <c r="B5" s="12" t="s">
        <v>416</v>
      </c>
    </row>
    <row r="6" customFormat="false" ht="15" hidden="false" customHeight="false" outlineLevel="0" collapsed="false">
      <c r="A6" s="13" t="s">
        <v>417</v>
      </c>
      <c r="B6" s="12" t="s">
        <v>418</v>
      </c>
    </row>
    <row r="7" customFormat="false" ht="23.85" hidden="false" customHeight="false" outlineLevel="0" collapsed="false">
      <c r="A7" s="13" t="s">
        <v>419</v>
      </c>
      <c r="B7" s="12" t="s">
        <v>420</v>
      </c>
    </row>
    <row r="8" customFormat="false" ht="15" hidden="false" customHeight="false" outlineLevel="0" collapsed="false">
      <c r="A8" s="13" t="s">
        <v>421</v>
      </c>
      <c r="B8" s="12" t="s">
        <v>422</v>
      </c>
    </row>
    <row r="9" customFormat="false" ht="15" hidden="false" customHeight="false" outlineLevel="0" collapsed="false">
      <c r="A9" s="13" t="s">
        <v>423</v>
      </c>
      <c r="B9" s="12" t="s">
        <v>424</v>
      </c>
    </row>
    <row r="10" customFormat="false" ht="15" hidden="false" customHeight="false" outlineLevel="0" collapsed="false">
      <c r="A10" s="13" t="s">
        <v>425</v>
      </c>
      <c r="B10" s="12" t="s">
        <v>426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s>
  <sheetData>
    <row r="1" customFormat="false" ht="15" hidden="false" customHeight="false" outlineLevel="0" collapsed="false">
      <c r="A1" s="6" t="s">
        <v>427</v>
      </c>
      <c r="B1" s="13"/>
      <c r="C1" s="13"/>
      <c r="D1" s="13"/>
      <c r="E1" s="13"/>
      <c r="F1" s="13"/>
    </row>
    <row r="2" customFormat="false" ht="15" hidden="false" customHeight="false" outlineLevel="0" collapsed="false">
      <c r="A2" s="6" t="s">
        <v>428</v>
      </c>
      <c r="B2" s="6" t="s">
        <v>429</v>
      </c>
      <c r="C2" s="6" t="s">
        <v>430</v>
      </c>
      <c r="D2" s="13"/>
      <c r="E2" s="13"/>
      <c r="F2" s="13"/>
    </row>
    <row r="3" customFormat="false" ht="15" hidden="false" customHeight="false" outlineLevel="0" collapsed="false">
      <c r="A3" s="13" t="s">
        <v>431</v>
      </c>
      <c r="B3" s="14" t="n">
        <v>0.3</v>
      </c>
      <c r="C3" s="13" t="s">
        <v>432</v>
      </c>
      <c r="D3" s="13"/>
      <c r="E3" s="13"/>
      <c r="F3" s="13"/>
    </row>
    <row r="4" customFormat="false" ht="15" hidden="false" customHeight="false" outlineLevel="0" collapsed="false">
      <c r="A4" s="13" t="s">
        <v>433</v>
      </c>
      <c r="B4" s="14" t="n">
        <v>0.25</v>
      </c>
      <c r="C4" s="13" t="s">
        <v>432</v>
      </c>
      <c r="D4" s="13"/>
      <c r="E4" s="13"/>
      <c r="F4" s="13"/>
    </row>
    <row r="5" customFormat="false" ht="15" hidden="false" customHeight="false" outlineLevel="0" collapsed="false">
      <c r="A5" s="13" t="s">
        <v>434</v>
      </c>
      <c r="B5" s="14" t="n">
        <v>0.25</v>
      </c>
      <c r="C5" s="13" t="s">
        <v>432</v>
      </c>
      <c r="D5" s="13"/>
      <c r="E5" s="13"/>
      <c r="F5" s="13"/>
    </row>
    <row r="6" customFormat="false" ht="15" hidden="false" customHeight="false" outlineLevel="0" collapsed="false">
      <c r="A6" s="13" t="s">
        <v>435</v>
      </c>
      <c r="B6" s="14" t="n">
        <v>0.1</v>
      </c>
      <c r="C6" s="13" t="s">
        <v>432</v>
      </c>
      <c r="D6" s="13"/>
      <c r="E6" s="13"/>
      <c r="F6" s="13"/>
    </row>
    <row r="7" customFormat="false" ht="15" hidden="false" customHeight="false" outlineLevel="0" collapsed="false">
      <c r="A7" s="13" t="s">
        <v>29</v>
      </c>
      <c r="B7" s="14" t="n">
        <v>0.1</v>
      </c>
      <c r="C7" s="13" t="s">
        <v>432</v>
      </c>
      <c r="D7" s="13"/>
      <c r="E7" s="13"/>
      <c r="F7" s="13"/>
    </row>
    <row r="8" customFormat="false" ht="15" hidden="false" customHeight="false" outlineLevel="0" collapsed="false">
      <c r="A8" s="13" t="s">
        <v>436</v>
      </c>
      <c r="B8" s="15" t="n">
        <f aca="false">SUM(B3:B7)</f>
        <v>1</v>
      </c>
      <c r="C8" s="13"/>
      <c r="D8" s="13"/>
      <c r="E8" s="13"/>
      <c r="F8" s="13"/>
    </row>
    <row r="9" customFormat="false" ht="9.75" hidden="false" customHeight="true" outlineLevel="0" collapsed="false">
      <c r="A9" s="16"/>
      <c r="B9" s="16"/>
      <c r="C9" s="16"/>
      <c r="D9" s="16"/>
      <c r="E9" s="16"/>
      <c r="F9" s="16"/>
    </row>
    <row r="10" customFormat="false" ht="45" hidden="false" customHeight="true" outlineLevel="0" collapsed="false">
      <c r="A10" s="16" t="s">
        <v>437</v>
      </c>
      <c r="B10" s="16"/>
      <c r="C10" s="16"/>
      <c r="D10" s="16"/>
      <c r="E10" s="16"/>
      <c r="F10" s="16"/>
    </row>
    <row r="11" customFormat="false" ht="45" hidden="false" customHeight="true" outlineLevel="0" collapsed="false">
      <c r="A11" s="16" t="s">
        <v>438</v>
      </c>
      <c r="B11" s="16"/>
      <c r="C11" s="16"/>
      <c r="D11" s="16"/>
      <c r="E11" s="16"/>
      <c r="F11" s="16"/>
    </row>
    <row r="12" customFormat="false" ht="45" hidden="false" customHeight="true" outlineLevel="0" collapsed="false">
      <c r="A12" s="16" t="s">
        <v>439</v>
      </c>
      <c r="B12" s="16"/>
      <c r="C12" s="16"/>
      <c r="D12" s="16"/>
      <c r="E12" s="16"/>
      <c r="F12" s="16"/>
    </row>
    <row r="13" customFormat="false" ht="45" hidden="false" customHeight="true" outlineLevel="0" collapsed="false">
      <c r="A13" s="16" t="s">
        <v>440</v>
      </c>
      <c r="B13" s="16"/>
      <c r="C13" s="16"/>
      <c r="D13" s="16"/>
      <c r="E13" s="16"/>
      <c r="F13" s="16"/>
    </row>
    <row r="14" customFormat="false" ht="45" hidden="false" customHeight="true" outlineLevel="0" collapsed="false">
      <c r="A14" s="16" t="s">
        <v>441</v>
      </c>
      <c r="B14" s="16"/>
      <c r="C14" s="16"/>
      <c r="D14" s="16"/>
      <c r="E14" s="16"/>
      <c r="F14" s="16"/>
    </row>
  </sheetData>
  <mergeCells count="6">
    <mergeCell ref="A9:F9"/>
    <mergeCell ref="A10:F10"/>
    <mergeCell ref="A11:F11"/>
    <mergeCell ref="A12:F12"/>
    <mergeCell ref="A13:F13"/>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2026-10-08T20:19:16Z</dcterms:created>
  <dc:creator>openpyxl</dc:creator>
  <dc:description/>
  <dc:language>en-US</dc:language>
  <cp:lastModifiedBy/>
  <dcterms:modified xsi:type="dcterms:W3CDTF">2026-10-08T20:19:16Z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